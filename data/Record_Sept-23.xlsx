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hkex">Sheet1!$I$145</definedName>
    <definedName name="byd">Sheet1!$I$160</definedName>
    <definedName name="ub">Sheet1!$I$316</definedName>
    <definedName name="zte">Sheet1!$I$70</definedName>
    <definedName name="sun">Sheet1!$I$406</definedName>
  </definedNames>
  <calcPr/>
</workbook>
</file>

<file path=xl/sharedStrings.xml><?xml version="1.0" encoding="utf-8"?>
<sst xmlns="http://schemas.openxmlformats.org/spreadsheetml/2006/main" count="426" uniqueCount="26">
  <si>
    <t>Base</t>
  </si>
  <si>
    <t>Now</t>
  </si>
  <si>
    <t>Change</t>
  </si>
  <si>
    <t>HS</t>
  </si>
  <si>
    <t>TB</t>
  </si>
  <si>
    <t>Sell</t>
  </si>
  <si>
    <t>Buy</t>
  </si>
  <si>
    <t>xxx</t>
  </si>
  <si>
    <t>Stock</t>
  </si>
  <si>
    <t>Earn</t>
  </si>
  <si>
    <t>9888 Baidu</t>
  </si>
  <si>
    <t>7WYS0%</t>
  </si>
  <si>
    <r>
      <rPr>
        <rFont val="PMingLiu"/>
        <color rgb="FF000000"/>
        <sz val="11.0"/>
      </rPr>
      <t>S</t>
    </r>
    <r>
      <rPr>
        <rFont val="新細明體"/>
        <color rgb="FF000000"/>
        <sz val="11.0"/>
      </rPr>
      <t>ell</t>
    </r>
  </si>
  <si>
    <r>
      <rPr>
        <rFont val="PMingLiu"/>
        <color rgb="FF000000"/>
        <sz val="11.0"/>
      </rPr>
      <t>B</t>
    </r>
    <r>
      <rPr>
        <rFont val="新細明體"/>
        <color rgb="FF000000"/>
        <sz val="11.0"/>
      </rPr>
      <t>uy</t>
    </r>
  </si>
  <si>
    <r>
      <rPr>
        <rFont val="PMingLiu"/>
        <color rgb="FF000000"/>
        <sz val="11.0"/>
      </rPr>
      <t>S</t>
    </r>
    <r>
      <rPr>
        <rFont val="新細明體"/>
        <color rgb="FF000000"/>
        <sz val="11.0"/>
      </rPr>
      <t>ell</t>
    </r>
  </si>
  <si>
    <r>
      <rPr>
        <rFont val="PMingLiu"/>
        <color rgb="FF000000"/>
        <sz val="11.0"/>
      </rPr>
      <t>B</t>
    </r>
    <r>
      <rPr>
        <rFont val="新細明體"/>
        <color rgb="FF000000"/>
        <sz val="11.0"/>
      </rPr>
      <t>uy</t>
    </r>
  </si>
  <si>
    <r>
      <rPr>
        <rFont val="PMingLiu"/>
        <color rgb="FF000000"/>
        <sz val="11.0"/>
      </rPr>
      <t>S</t>
    </r>
    <r>
      <rPr>
        <rFont val="新細明體"/>
        <color rgb="FF000000"/>
        <sz val="11.0"/>
      </rPr>
      <t>ell</t>
    </r>
  </si>
  <si>
    <r>
      <rPr>
        <rFont val="PMingLiu"/>
        <color rgb="FF000000"/>
        <sz val="11.0"/>
      </rPr>
      <t>B</t>
    </r>
    <r>
      <rPr>
        <rFont val="新細明體"/>
        <color rgb="FF000000"/>
        <sz val="11.0"/>
      </rPr>
      <t>uy</t>
    </r>
  </si>
  <si>
    <r>
      <rPr>
        <rFont val="PMingLiu"/>
        <color rgb="FF000000"/>
        <sz val="11.0"/>
      </rPr>
      <t>S</t>
    </r>
    <r>
      <rPr>
        <rFont val="新細明體"/>
        <color rgb="FF000000"/>
        <sz val="11.0"/>
      </rPr>
      <t>ell</t>
    </r>
  </si>
  <si>
    <r>
      <rPr>
        <rFont val="PMingLiu"/>
        <color rgb="FF000000"/>
        <sz val="11.0"/>
      </rPr>
      <t>B</t>
    </r>
    <r>
      <rPr>
        <rFont val="新細明體"/>
        <color rgb="FF000000"/>
        <sz val="11.0"/>
      </rPr>
      <t>uy</t>
    </r>
  </si>
  <si>
    <r>
      <rPr>
        <rFont val="PMingLiu"/>
        <color rgb="FF000000"/>
        <sz val="11.0"/>
      </rPr>
      <t>S</t>
    </r>
    <r>
      <rPr>
        <rFont val="新細明體"/>
        <color rgb="FF000000"/>
        <sz val="11.0"/>
      </rPr>
      <t>ell</t>
    </r>
  </si>
  <si>
    <r>
      <rPr>
        <rFont val="PMingLiu"/>
        <color rgb="FF000000"/>
        <sz val="11.0"/>
      </rPr>
      <t>B</t>
    </r>
    <r>
      <rPr>
        <rFont val="新細明體"/>
        <color rgb="FF000000"/>
        <sz val="11.0"/>
      </rPr>
      <t>uy</t>
    </r>
  </si>
  <si>
    <r>
      <rPr>
        <rFont val="PMingLiu"/>
        <color rgb="FF000000"/>
        <sz val="11.0"/>
      </rPr>
      <t>S</t>
    </r>
    <r>
      <rPr>
        <rFont val="新細明體"/>
        <color rgb="FF000000"/>
        <sz val="11.0"/>
      </rPr>
      <t>ell</t>
    </r>
  </si>
  <si>
    <r>
      <rPr>
        <rFont val="PMingLiu"/>
        <color rgb="FF000000"/>
        <sz val="11.0"/>
      </rPr>
      <t>B</t>
    </r>
    <r>
      <rPr>
        <rFont val="新細明體"/>
        <color rgb="FF000000"/>
        <sz val="11.0"/>
      </rPr>
      <t>uy</t>
    </r>
  </si>
  <si>
    <t>9888 Bidu</t>
  </si>
  <si>
    <t>9888 BAIDU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</si>
</sst>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 "/>
    <numFmt numFmtId="165" formatCode="_-[$$-3C09]* #,##0.00_-;\-[$$-3C09]* #,##0.00_-;_-[$$-3C09]* &quot;-&quot;??_-;_-@"/>
  </numFmts>
  <fonts count="4">
    <font>
      <sz val="11.0"/>
      <color rgb="FF000000"/>
      <name val="Arial"/>
      <scheme val="minor"/>
    </font>
    <font>
      <sz val="11.0"/>
      <name val="PMingLiu"/>
    </font>
    <font>
      <sz val="11.0"/>
      <color rgb="FF000000"/>
      <name val="PMingLiu"/>
    </font>
    <font>
      <sz val="11.0"/>
      <color rgb="FFFF0000"/>
      <name val="PMingLiu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6">
    <border/>
    <border>
      <left/>
      <right/>
      <top/>
      <bottom/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0" xfId="0" applyBorder="1" applyFill="1" applyFont="1" applyNumberFormat="1"/>
    <xf borderId="1" fillId="2" fontId="1" numFmtId="164" xfId="0" applyBorder="1" applyFill="1" applyFont="1" applyNumberFormat="1"/>
    <xf borderId="0" fillId="0" fontId="1" numFmtId="0" xfId="0" applyFont="1"/>
    <xf borderId="0" fillId="0" fontId="1" numFmtId="10" xfId="0" applyFont="1" applyNumberFormat="1"/>
    <xf borderId="0" fillId="0" fontId="1" numFmtId="164" xfId="0" applyFont="1" applyNumberFormat="1"/>
    <xf borderId="1" fillId="3" fontId="1" numFmtId="0" xfId="0" applyBorder="1" applyFill="1" applyFont="1"/>
    <xf borderId="0" fillId="0" fontId="2" numFmtId="16" xfId="0" applyFont="1" applyNumberFormat="1"/>
    <xf borderId="2" fillId="0" fontId="1" numFmtId="165" xfId="0" applyBorder="1" applyFont="1" applyNumberFormat="1"/>
    <xf borderId="3" fillId="0" fontId="1" numFmtId="0" xfId="0" applyBorder="1" applyFont="1"/>
    <xf borderId="4" fillId="0" fontId="1" numFmtId="165" xfId="0" applyBorder="1" applyFont="1" applyNumberFormat="1"/>
    <xf borderId="5" fillId="0" fontId="1" numFmtId="0" xfId="0" applyBorder="1" applyFont="1"/>
    <xf borderId="1" fillId="4" fontId="1" numFmtId="0" xfId="0" applyBorder="1" applyFill="1" applyFont="1"/>
    <xf borderId="0" fillId="0" fontId="1" numFmtId="165" xfId="0" applyFont="1" applyNumberFormat="1"/>
    <xf borderId="0" fillId="0" fontId="3" numFmtId="165" xfId="0" applyFont="1" applyNumberFormat="1"/>
    <xf borderId="1" fillId="2" fontId="2" numFmtId="0" xfId="0" applyBorder="1" applyFill="1" applyFont="1"/>
    <xf borderId="0" fillId="0" fontId="2" numFmtId="0" xfId="0" applyFont="1"/>
    <xf borderId="0" fillId="0" fontId="2" numFmtId="165" xfId="0" applyFont="1" applyNumberFormat="1"/>
    <xf borderId="1" fillId="5" fontId="2" numFmtId="0" xfId="0" applyBorder="1" applyFill="1" applyFont="1"/>
    <xf borderId="1" fillId="5" fontId="2" numFmtId="16" xfId="0" applyBorder="1" applyFill="1" applyFont="1" applyNumberFormat="1"/>
    <xf borderId="1" fillId="5" fontId="1" numFmtId="0" xfId="0" applyBorder="1" applyFill="1" applyFont="1"/>
    <xf borderId="1" fillId="5" fontId="1" numFmtId="164" xfId="0" applyBorder="1" applyFill="1" applyFont="1" applyNumberFormat="1"/>
    <xf borderId="1" fillId="5" fontId="1" numFmtId="165" xfId="0" applyBorder="1" applyFill="1" applyFont="1" applyNumberFormat="1"/>
    <xf borderId="1" fillId="5" fontId="2" numFmtId="165" xfId="0" applyBorder="1" applyFill="1" applyFont="1" applyNumberFormat="1"/>
    <xf borderId="1" fillId="5" fontId="1" numFmtId="10" xfId="0" applyBorder="1" applyFill="1" applyFont="1" applyNumberFormat="1"/>
    <xf borderId="1" fillId="6" fontId="2" numFmtId="0" xfId="0" applyBorder="1" applyFill="1" applyFont="1"/>
    <xf borderId="1" fillId="0" fontId="2" numFmtId="0" xfId="0" applyBorder="1" applyFont="1"/>
    <xf borderId="0" fillId="0" fontId="1" numFmtId="16" xfId="0" applyFont="1" applyNumberFormat="1"/>
  </cellXfs>
  <cellStyles count="1">
    <cellStyle xfId="0" name="Normal" builtinId="0"/>
  </cellStyles>
  <dxfs count="7">
    <dxf>
      <font/>
      <fill>
        <patternFill patternType="solid">
          <fgColor rgb="FF7B7B7B"/>
          <bgColor rgb="FF7B7B7B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7F7F7F"/>
          <bgColor rgb="FF7F7F7F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9.0"/>
    <col customWidth="1" min="4" max="4" width="11.0"/>
    <col customWidth="1" min="5" max="5" width="14.43"/>
    <col customWidth="1" min="6" max="6" width="14.0"/>
    <col customWidth="1" min="7" max="7" width="6.86"/>
    <col customWidth="1" min="8" max="8" width="10.0"/>
    <col customWidth="1" min="9" max="9" width="10.57"/>
    <col customWidth="1" min="10" max="10" width="11.71"/>
    <col customWidth="1" min="11" max="11" width="13.43"/>
    <col customWidth="1" min="12" max="16" width="8.71"/>
    <col customWidth="1" min="17" max="17" width="11.29"/>
    <col customWidth="1" min="18" max="18" width="8.71"/>
    <col customWidth="1" min="19" max="19" width="11.86"/>
    <col customWidth="1" min="20" max="24" width="8.71"/>
    <col customWidth="1" min="25" max="25" width="11.0"/>
    <col customWidth="1" min="26" max="26" width="11.43"/>
  </cols>
  <sheetData>
    <row r="1" ht="15.7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3"/>
    </row>
    <row r="2" ht="15.75" customHeight="1">
      <c r="A2" s="4"/>
      <c r="B2" s="4" t="s">
        <v>0</v>
      </c>
      <c r="C2" s="4" t="s">
        <v>1</v>
      </c>
      <c r="D2" s="4" t="s">
        <v>2</v>
      </c>
      <c r="H2" s="5"/>
      <c r="Z2" s="6"/>
    </row>
    <row r="3" ht="15.75" customHeight="1">
      <c r="A3" s="4" t="s">
        <v>3</v>
      </c>
      <c r="B3" s="4">
        <v>25566.0</v>
      </c>
      <c r="C3" s="7">
        <v>24800.0</v>
      </c>
      <c r="D3" s="5" t="str">
        <f>(C3-B3)/B3</f>
        <v>-3.00%</v>
      </c>
      <c r="H3" s="5"/>
      <c r="Z3" s="6"/>
    </row>
    <row r="4" ht="15.75" customHeight="1">
      <c r="A4" s="4"/>
      <c r="B4" s="4"/>
      <c r="C4" s="4"/>
      <c r="H4" s="5" t="s">
        <v>4</v>
      </c>
      <c r="K4" t="s">
        <v>0</v>
      </c>
      <c r="Z4" s="6"/>
    </row>
    <row r="5" ht="15.75" customHeight="1">
      <c r="A5" t="s">
        <v>5</v>
      </c>
      <c r="B5" t="s">
        <v>6</v>
      </c>
      <c r="C5" s="8">
        <v>46262.0</v>
      </c>
      <c r="H5" s="5" t="str">
        <f t="shared" ref="H5:H6" si="1">(I5-K5)/K5-$D$3</f>
        <v>-4.19%</v>
      </c>
      <c r="I5" s="9">
        <v>1.55</v>
      </c>
      <c r="J5" s="10">
        <v>371.0</v>
      </c>
      <c r="K5">
        <v>1.67</v>
      </c>
    </row>
    <row r="6" ht="15.75" customHeight="1">
      <c r="A6" s="4">
        <v>371.0</v>
      </c>
      <c r="B6" s="4">
        <v>855.0</v>
      </c>
      <c r="H6" s="5" t="str">
        <f t="shared" si="1"/>
        <v>-1.94%</v>
      </c>
      <c r="I6" s="11">
        <v>4.24</v>
      </c>
      <c r="J6" s="12">
        <v>855.0</v>
      </c>
      <c r="K6">
        <v>4.46</v>
      </c>
    </row>
    <row r="7" ht="15.75" customHeight="1">
      <c r="A7" s="13" t="s">
        <v>7</v>
      </c>
      <c r="B7" s="14" t="s">
        <v>7</v>
      </c>
      <c r="H7" s="5" t="str">
        <f>H5-H6</f>
        <v>-2.25%</v>
      </c>
    </row>
    <row r="8" ht="15.75" customHeight="1">
      <c r="A8" s="15" t="str">
        <f>I5</f>
        <v> $ 1.55 </v>
      </c>
      <c r="B8" s="15" t="str">
        <f>I6</f>
        <v> $ 4.24 </v>
      </c>
      <c r="C8">
        <v>600.0</v>
      </c>
      <c r="D8" t="s">
        <v>8</v>
      </c>
      <c r="V8" s="6"/>
    </row>
    <row r="9" ht="15.75" customHeight="1">
      <c r="A9" s="4"/>
      <c r="B9" s="14"/>
      <c r="C9">
        <v>300.0</v>
      </c>
      <c r="D9" t="s">
        <v>9</v>
      </c>
      <c r="E9" s="14" t="str">
        <f>A9</f>
        <v/>
      </c>
      <c r="F9" s="14" t="str">
        <f>(B9+A9)</f>
        <v> $ -   </v>
      </c>
      <c r="G9" t="str">
        <f>IF(F9&gt;0, "TRADE","H")</f>
        <v>H</v>
      </c>
      <c r="V9" s="6"/>
    </row>
    <row r="10" ht="15.75" customHeight="1">
      <c r="A10" t="s">
        <v>5</v>
      </c>
      <c r="B10" t="s">
        <v>6</v>
      </c>
      <c r="C10" s="8">
        <v>46259.0</v>
      </c>
    </row>
    <row r="11" ht="15.75" customHeight="1">
      <c r="A11" s="4">
        <v>371.0</v>
      </c>
      <c r="B11" s="4">
        <v>855.0</v>
      </c>
    </row>
    <row r="12" ht="15.75" customHeight="1">
      <c r="A12" s="13" t="str">
        <f>-0.0554+1.73</f>
        <v>1.6746</v>
      </c>
      <c r="B12" s="14">
        <v>4.5</v>
      </c>
    </row>
    <row r="13" ht="15.75" customHeight="1">
      <c r="A13" s="14" t="str">
        <f>$A$8</f>
        <v> $ 1.55 </v>
      </c>
      <c r="B13" s="14" t="str">
        <f>$B$8</f>
        <v> $ 4.24 </v>
      </c>
      <c r="C13">
        <v>2000.0</v>
      </c>
      <c r="D13" t="s">
        <v>8</v>
      </c>
      <c r="V13" s="6"/>
    </row>
    <row r="14" ht="15.75" customHeight="1">
      <c r="A14" s="4" t="str">
        <f>(A13-A12)*C14</f>
        <v>-747.6</v>
      </c>
      <c r="B14" s="14" t="str">
        <f>C13*(B12-B13)</f>
        <v> $ 520.00 </v>
      </c>
      <c r="C14">
        <v>6000.0</v>
      </c>
      <c r="D14" t="s">
        <v>9</v>
      </c>
      <c r="E14" s="14" t="str">
        <f>A14</f>
        <v>-$ 747.60 </v>
      </c>
      <c r="F14" s="14" t="str">
        <f>(B14+A14)</f>
        <v>-$ 227.60 </v>
      </c>
      <c r="G14" t="str">
        <f>IF(F14&gt;0, "TRADE","H")</f>
        <v>H</v>
      </c>
      <c r="V14" s="6"/>
    </row>
    <row r="15" ht="15.75" customHeight="1">
      <c r="A15" t="s">
        <v>5</v>
      </c>
      <c r="B15" t="s">
        <v>6</v>
      </c>
      <c r="C15" s="8">
        <v>46154.0</v>
      </c>
      <c r="H15" s="5" t="str">
        <f t="shared" ref="H15:H16" si="2">(I15-K15)/K15-$D$3</f>
        <v>-1.47%</v>
      </c>
      <c r="I15" s="9">
        <v>38.5</v>
      </c>
      <c r="J15" s="10">
        <v>2230.0</v>
      </c>
      <c r="K15">
        <v>40.3</v>
      </c>
    </row>
    <row r="16" ht="15.75" customHeight="1">
      <c r="A16" s="4">
        <v>2230.0</v>
      </c>
      <c r="B16" s="4">
        <v>600089.0</v>
      </c>
      <c r="H16" s="5" t="str">
        <f t="shared" si="2"/>
        <v>-2.34%</v>
      </c>
      <c r="I16" s="11">
        <v>18.11</v>
      </c>
      <c r="J16" s="12">
        <v>600089.0</v>
      </c>
      <c r="K16">
        <v>19.13</v>
      </c>
    </row>
    <row r="17" ht="15.75" customHeight="1">
      <c r="A17" s="13" t="s">
        <v>7</v>
      </c>
      <c r="B17" s="14" t="s">
        <v>7</v>
      </c>
      <c r="H17" s="5" t="str">
        <f>H15-H16</f>
        <v>0.87%</v>
      </c>
    </row>
    <row r="18" ht="15.75" customHeight="1">
      <c r="A18" s="15" t="str">
        <f>I15</f>
        <v> $ 38.50 </v>
      </c>
      <c r="B18" s="15" t="str">
        <f>I16</f>
        <v> $ 18.11 </v>
      </c>
      <c r="C18">
        <v>600.0</v>
      </c>
      <c r="D18" t="s">
        <v>8</v>
      </c>
      <c r="V18" s="6"/>
    </row>
    <row r="19" ht="15.75" customHeight="1">
      <c r="A19" s="4"/>
      <c r="B19" s="14"/>
      <c r="C19">
        <v>300.0</v>
      </c>
      <c r="D19" t="s">
        <v>9</v>
      </c>
      <c r="E19" s="14" t="str">
        <f>A19</f>
        <v/>
      </c>
      <c r="F19" s="14" t="str">
        <f>(B19+A19)</f>
        <v> $ -   </v>
      </c>
      <c r="G19" t="str">
        <f>IF(F19&gt;0, "TRADE","H")</f>
        <v>H</v>
      </c>
      <c r="V19" s="6"/>
    </row>
    <row r="20" ht="15.75" customHeight="1">
      <c r="A20" t="s">
        <v>5</v>
      </c>
      <c r="B20" t="s">
        <v>6</v>
      </c>
      <c r="C20" s="8">
        <v>46259.0</v>
      </c>
    </row>
    <row r="21" ht="15.75" customHeight="1">
      <c r="A21" s="4">
        <v>60089.0</v>
      </c>
      <c r="B21" s="4">
        <v>2230.0</v>
      </c>
    </row>
    <row r="22" ht="15.75" customHeight="1">
      <c r="A22" s="13">
        <v>19.0</v>
      </c>
      <c r="B22" s="14">
        <v>39.32</v>
      </c>
    </row>
    <row r="23" ht="15.75" customHeight="1">
      <c r="A23" s="14" t="str">
        <f>$B$18</f>
        <v> $ 18.11 </v>
      </c>
      <c r="B23" s="14" t="str">
        <f>$A$18</f>
        <v> $ 38.50 </v>
      </c>
      <c r="C23">
        <v>300.0</v>
      </c>
      <c r="D23" t="s">
        <v>8</v>
      </c>
      <c r="V23" s="6"/>
    </row>
    <row r="24" ht="15.75" customHeight="1">
      <c r="A24" s="4" t="str">
        <f>(A23-A22)*C24</f>
        <v>-534</v>
      </c>
      <c r="B24" s="14" t="str">
        <f>C23*(B22-B23)</f>
        <v> $ 246.00 </v>
      </c>
      <c r="C24">
        <v>600.0</v>
      </c>
      <c r="D24" t="s">
        <v>9</v>
      </c>
      <c r="E24" s="14" t="str">
        <f>A24</f>
        <v>-$ 534.00 </v>
      </c>
      <c r="F24" s="14" t="str">
        <f>(B24+A24)</f>
        <v>-$ 288.00 </v>
      </c>
      <c r="G24" t="str">
        <f>IF(F24&gt;0, "TRADE","H")</f>
        <v>H</v>
      </c>
      <c r="V24" s="6"/>
    </row>
    <row r="25" ht="15.75" customHeight="1">
      <c r="A25" t="s">
        <v>5</v>
      </c>
      <c r="B25" t="s">
        <v>6</v>
      </c>
      <c r="C25" s="8">
        <v>46217.0</v>
      </c>
      <c r="H25" s="5" t="str">
        <f t="shared" ref="H25:H26" si="3">(I25-K25)/K25-$D$3</f>
        <v>-3.45%</v>
      </c>
      <c r="I25" s="9">
        <v>90.0</v>
      </c>
      <c r="J25" s="10" t="s">
        <v>10</v>
      </c>
      <c r="K25">
        <v>96.2</v>
      </c>
    </row>
    <row r="26" ht="15.75" customHeight="1">
      <c r="A26" s="4" t="s">
        <v>10</v>
      </c>
      <c r="B26" s="4">
        <v>9988.0</v>
      </c>
      <c r="H26" s="5" t="str">
        <f t="shared" si="3"/>
        <v>-3.13%</v>
      </c>
      <c r="I26" s="11">
        <v>107.2</v>
      </c>
      <c r="J26" s="12">
        <v>9988.0</v>
      </c>
      <c r="K26">
        <v>114.2</v>
      </c>
    </row>
    <row r="27" ht="15.75" customHeight="1">
      <c r="A27" s="13" t="s">
        <v>7</v>
      </c>
      <c r="B27" s="14" t="s">
        <v>7</v>
      </c>
      <c r="H27" s="5" t="str">
        <f>H25-H26</f>
        <v>-0.32%</v>
      </c>
    </row>
    <row r="28" ht="15.75" customHeight="1">
      <c r="A28" s="15" t="str">
        <f>I25</f>
        <v> $ 90.00 </v>
      </c>
      <c r="B28" s="15" t="str">
        <f>I26</f>
        <v> $ 107.20 </v>
      </c>
      <c r="C28">
        <v>200.0</v>
      </c>
      <c r="D28" t="s">
        <v>8</v>
      </c>
      <c r="V28" s="6"/>
    </row>
    <row r="29" ht="15.75" customHeight="1">
      <c r="A29" s="4"/>
      <c r="B29" s="14"/>
      <c r="C29">
        <v>200.0</v>
      </c>
      <c r="D29" t="s">
        <v>9</v>
      </c>
      <c r="E29" s="14" t="str">
        <f>A29</f>
        <v/>
      </c>
      <c r="F29" s="14" t="str">
        <f>(B29+A29)</f>
        <v> $ -   </v>
      </c>
      <c r="G29" t="str">
        <f>IF(F29&gt;0, "TRADE","H")</f>
        <v>H</v>
      </c>
      <c r="V29" s="6"/>
    </row>
    <row r="30" ht="15.75" customHeight="1">
      <c r="A30" t="s">
        <v>5</v>
      </c>
      <c r="B30" t="s">
        <v>6</v>
      </c>
      <c r="C30" s="8">
        <v>46217.0</v>
      </c>
    </row>
    <row r="31" ht="15.75" customHeight="1">
      <c r="A31" s="4" t="s">
        <v>10</v>
      </c>
      <c r="B31" s="4">
        <v>9988.0</v>
      </c>
    </row>
    <row r="32" ht="15.75" customHeight="1">
      <c r="A32" s="13">
        <v>109.3</v>
      </c>
      <c r="B32" s="14">
        <v>108.7</v>
      </c>
    </row>
    <row r="33" ht="15.75" customHeight="1">
      <c r="A33" s="14" t="str">
        <f>$A$28</f>
        <v> $ 90.00 </v>
      </c>
      <c r="B33" s="14" t="str">
        <f>$B$28</f>
        <v> $ 107.20 </v>
      </c>
      <c r="C33">
        <v>200.0</v>
      </c>
      <c r="D33" t="s">
        <v>8</v>
      </c>
      <c r="V33" s="6"/>
    </row>
    <row r="34" ht="15.75" customHeight="1">
      <c r="A34" s="4" t="str">
        <f>(A33-A32)*C34</f>
        <v>-3860</v>
      </c>
      <c r="B34" s="14" t="str">
        <f>C33*(B32-B33)</f>
        <v> $ 300.00 </v>
      </c>
      <c r="C34">
        <v>200.0</v>
      </c>
      <c r="D34" t="s">
        <v>9</v>
      </c>
      <c r="E34" s="14" t="str">
        <f>A34</f>
        <v>-$ 3,860.00 </v>
      </c>
      <c r="F34" s="14" t="str">
        <f>(B34+A34)</f>
        <v>-$ 3,560.00 </v>
      </c>
      <c r="G34" t="str">
        <f>IF(F34&gt;0, "TRADE","H")</f>
        <v>H</v>
      </c>
      <c r="V34" s="6"/>
    </row>
    <row r="35" ht="15.75" customHeight="1">
      <c r="A35" t="s">
        <v>5</v>
      </c>
      <c r="B35" t="s">
        <v>6</v>
      </c>
      <c r="C35" s="8">
        <v>46217.0</v>
      </c>
    </row>
    <row r="36" ht="15.75" customHeight="1">
      <c r="A36" s="4" t="s">
        <v>10</v>
      </c>
      <c r="B36" s="4">
        <v>9988.0</v>
      </c>
    </row>
    <row r="37" ht="15.75" customHeight="1">
      <c r="A37" s="13">
        <v>105.7</v>
      </c>
      <c r="B37" s="14">
        <v>107.2</v>
      </c>
    </row>
    <row r="38" ht="15.75" customHeight="1">
      <c r="A38" s="14" t="str">
        <f>$A$28</f>
        <v> $ 90.00 </v>
      </c>
      <c r="B38" s="14" t="str">
        <f>$B$28</f>
        <v> $ 107.20 </v>
      </c>
      <c r="C38">
        <v>200.0</v>
      </c>
      <c r="D38" t="s">
        <v>8</v>
      </c>
      <c r="V38" s="6"/>
    </row>
    <row r="39" ht="15.75" customHeight="1">
      <c r="A39" s="4" t="str">
        <f>(A38-A37)*C39</f>
        <v>-3140</v>
      </c>
      <c r="B39" s="14" t="str">
        <f>C38*(B37-B38)</f>
        <v> $ -   </v>
      </c>
      <c r="C39">
        <v>200.0</v>
      </c>
      <c r="D39" t="s">
        <v>9</v>
      </c>
      <c r="E39" s="14" t="str">
        <f>A39</f>
        <v>-$ 3,140.00 </v>
      </c>
      <c r="F39" s="14" t="str">
        <f>(B39+A39)</f>
        <v>-$ 3,140.00 </v>
      </c>
      <c r="G39" t="str">
        <f>IF(F39&gt;0, "TRADE","H")</f>
        <v>H</v>
      </c>
      <c r="V39" s="6"/>
    </row>
    <row r="40" ht="15.75" customHeight="1">
      <c r="A40" t="s">
        <v>5</v>
      </c>
      <c r="B40" t="s">
        <v>6</v>
      </c>
      <c r="C40" s="8">
        <v>46084.0</v>
      </c>
      <c r="H40" s="5" t="str">
        <f t="shared" ref="H40:H41" si="4">(I40-K40)/K40-$D$3</f>
        <v>-6.98%</v>
      </c>
      <c r="I40" s="9">
        <v>2.03</v>
      </c>
      <c r="J40" s="10">
        <v>968.0</v>
      </c>
      <c r="K40">
        <v>2.255</v>
      </c>
    </row>
    <row r="41" ht="15.75" customHeight="1">
      <c r="A41" s="4">
        <v>3800.0</v>
      </c>
      <c r="B41" s="4">
        <v>968.0</v>
      </c>
      <c r="H41" s="5" t="str">
        <f t="shared" si="4"/>
        <v>10.85%</v>
      </c>
      <c r="I41" s="11">
        <v>0.755</v>
      </c>
      <c r="J41" s="12">
        <v>3800.0</v>
      </c>
      <c r="K41">
        <v>0.7</v>
      </c>
    </row>
    <row r="42" ht="15.75" customHeight="1">
      <c r="A42" s="13" t="s">
        <v>7</v>
      </c>
      <c r="B42" s="14" t="s">
        <v>7</v>
      </c>
      <c r="H42" s="5" t="s">
        <v>11</v>
      </c>
    </row>
    <row r="43" ht="15.75" customHeight="1">
      <c r="A43" s="15" t="str">
        <f>I41</f>
        <v> $ 0.76 </v>
      </c>
      <c r="B43" s="15" t="str">
        <f>I40</f>
        <v> $ 2.03 </v>
      </c>
      <c r="C43">
        <v>4000.0</v>
      </c>
      <c r="D43" t="s">
        <v>8</v>
      </c>
      <c r="V43" s="6"/>
    </row>
    <row r="44" ht="15.75" customHeight="1">
      <c r="A44" s="4"/>
      <c r="B44" s="14"/>
      <c r="C44">
        <v>12000.0</v>
      </c>
      <c r="D44" t="s">
        <v>9</v>
      </c>
      <c r="E44" s="14" t="str">
        <f>A44</f>
        <v/>
      </c>
      <c r="F44" s="14" t="str">
        <f>(B44+A44)</f>
        <v> $ -   </v>
      </c>
      <c r="G44" t="str">
        <f>IF(F44&gt;0, "TRADE","H")</f>
        <v>H</v>
      </c>
      <c r="V44" s="6"/>
    </row>
    <row r="45" ht="15.75" customHeight="1">
      <c r="A45" t="s">
        <v>5</v>
      </c>
      <c r="B45" t="s">
        <v>6</v>
      </c>
      <c r="C45" s="8">
        <v>46286.0</v>
      </c>
    </row>
    <row r="46" ht="15.75" customHeight="1">
      <c r="A46" s="4">
        <v>968.0</v>
      </c>
      <c r="B46" s="4">
        <v>3800.0</v>
      </c>
    </row>
    <row r="47" ht="15.75" customHeight="1">
      <c r="A47" s="13">
        <v>2.03</v>
      </c>
      <c r="B47" s="14">
        <v>0.755</v>
      </c>
    </row>
    <row r="48" ht="15.75" customHeight="1">
      <c r="A48" s="14" t="str">
        <f>$B$43</f>
        <v> $ 2.03 </v>
      </c>
      <c r="B48" s="14" t="str">
        <f>$A$43</f>
        <v> $ 0.76 </v>
      </c>
      <c r="C48">
        <v>12000.0</v>
      </c>
      <c r="D48" t="s">
        <v>8</v>
      </c>
      <c r="V48" s="6"/>
    </row>
    <row r="49" ht="15.75" customHeight="1">
      <c r="A49" s="4" t="str">
        <f>(A48-A47)*C49</f>
        <v>0</v>
      </c>
      <c r="B49" s="14" t="str">
        <f>C48*(B47-B48)</f>
        <v> $ -   </v>
      </c>
      <c r="C49">
        <v>4000.0</v>
      </c>
      <c r="D49" t="s">
        <v>9</v>
      </c>
      <c r="E49" s="14" t="str">
        <f>A49</f>
        <v> $ -   </v>
      </c>
      <c r="F49" s="14" t="str">
        <f>(B49+A49)</f>
        <v> $ -   </v>
      </c>
      <c r="G49" t="str">
        <f>IF(F49&gt;0, "TRADE","H")</f>
        <v>H</v>
      </c>
      <c r="V49" s="6"/>
    </row>
    <row r="50" ht="15.75" customHeight="1">
      <c r="A50" t="s">
        <v>5</v>
      </c>
      <c r="B50" t="s">
        <v>6</v>
      </c>
      <c r="C50" s="8">
        <v>46260.0</v>
      </c>
    </row>
    <row r="51" ht="15.75" customHeight="1">
      <c r="A51" s="4">
        <v>968.0</v>
      </c>
      <c r="B51" s="4">
        <v>3800.0</v>
      </c>
    </row>
    <row r="52" ht="15.75" customHeight="1">
      <c r="A52" s="13">
        <v>2.355</v>
      </c>
      <c r="B52" s="14">
        <v>0.75</v>
      </c>
    </row>
    <row r="53" ht="15.75" customHeight="1">
      <c r="A53" s="14" t="str">
        <f>$B$43</f>
        <v> $ 2.03 </v>
      </c>
      <c r="B53" s="14" t="str">
        <f>$A$43</f>
        <v> $ 0.76 </v>
      </c>
      <c r="C53">
        <v>12000.0</v>
      </c>
      <c r="D53" t="s">
        <v>8</v>
      </c>
      <c r="V53" s="6"/>
    </row>
    <row r="54" ht="15.75" customHeight="1">
      <c r="A54" s="4" t="str">
        <f>(A53-A52)*C54</f>
        <v>-1300</v>
      </c>
      <c r="B54" s="14" t="str">
        <f>C53*(B52-B53)</f>
        <v>-$ 60.00 </v>
      </c>
      <c r="C54">
        <v>4000.0</v>
      </c>
      <c r="D54" t="s">
        <v>9</v>
      </c>
      <c r="E54" s="14" t="str">
        <f>A54</f>
        <v>-$ 1,300.00 </v>
      </c>
      <c r="F54" s="14" t="str">
        <f>(B54+A54)</f>
        <v>-$ 1,360.00 </v>
      </c>
      <c r="G54" t="str">
        <f>IF(F54&gt;0, "TRADE","H")</f>
        <v>H</v>
      </c>
      <c r="V54" s="6"/>
    </row>
    <row r="55" ht="15.75" customHeight="1">
      <c r="A55" t="s">
        <v>5</v>
      </c>
      <c r="B55" t="s">
        <v>6</v>
      </c>
      <c r="C55" s="8">
        <v>46240.0</v>
      </c>
    </row>
    <row r="56" ht="15.75" customHeight="1">
      <c r="A56" s="4">
        <v>968.0</v>
      </c>
      <c r="B56" s="4">
        <v>3800.0</v>
      </c>
    </row>
    <row r="57" ht="15.75" customHeight="1">
      <c r="A57" s="13" t="str">
        <f>-0.0023+2.32</f>
        <v>2.3177</v>
      </c>
      <c r="B57" s="14">
        <v>0.685</v>
      </c>
    </row>
    <row r="58" ht="15.75" customHeight="1">
      <c r="A58" s="14" t="str">
        <f>$B$43</f>
        <v> $ 2.03 </v>
      </c>
      <c r="B58" s="14" t="str">
        <f>$A$43</f>
        <v> $ 0.76 </v>
      </c>
      <c r="C58">
        <v>12000.0</v>
      </c>
      <c r="D58" t="s">
        <v>8</v>
      </c>
      <c r="V58" s="6"/>
    </row>
    <row r="59" ht="15.75" customHeight="1">
      <c r="A59" s="4" t="str">
        <f>(A58-A57)*C59</f>
        <v>-1150.8</v>
      </c>
      <c r="B59" s="14" t="str">
        <f>C58*(B57-B58)</f>
        <v>-$ 840.00 </v>
      </c>
      <c r="C59">
        <v>4000.0</v>
      </c>
      <c r="D59" t="s">
        <v>9</v>
      </c>
      <c r="E59" s="14" t="str">
        <f>A59</f>
        <v>-$ 1,150.80 </v>
      </c>
      <c r="F59" s="14" t="str">
        <f>(B59+A59)</f>
        <v>-$ 1,990.80 </v>
      </c>
      <c r="G59" t="str">
        <f>IF(F59&gt;0, "TRADE","H")</f>
        <v>H</v>
      </c>
      <c r="V59" s="6"/>
    </row>
    <row r="60" ht="15.75" customHeight="1">
      <c r="A60" t="s">
        <v>5</v>
      </c>
      <c r="B60" t="s">
        <v>6</v>
      </c>
      <c r="C60" s="8">
        <v>46148.0</v>
      </c>
      <c r="H60" s="5" t="str">
        <f t="shared" ref="H60:H61" si="5">(I60-K60)/K60-$D$3</f>
        <v>11.62%</v>
      </c>
      <c r="I60" s="9">
        <v>0.315</v>
      </c>
      <c r="J60" s="10">
        <v>1725.0</v>
      </c>
      <c r="K60">
        <v>0.29</v>
      </c>
    </row>
    <row r="61" ht="15.75" customHeight="1">
      <c r="A61" s="4">
        <v>1725.0</v>
      </c>
      <c r="B61" s="4">
        <v>31.0</v>
      </c>
      <c r="H61" s="5" t="str">
        <f t="shared" si="5"/>
        <v>14.45%</v>
      </c>
      <c r="I61" s="11">
        <v>0.535</v>
      </c>
      <c r="J61" s="12">
        <v>31.0</v>
      </c>
      <c r="K61">
        <v>0.48</v>
      </c>
    </row>
    <row r="62" ht="15.75" customHeight="1">
      <c r="A62" s="13" t="s">
        <v>7</v>
      </c>
      <c r="B62" s="14" t="s">
        <v>7</v>
      </c>
      <c r="H62" s="5" t="str">
        <f>H60-H61</f>
        <v>-2.84%</v>
      </c>
      <c r="M62" s="6"/>
    </row>
    <row r="63" ht="15.75" customHeight="1">
      <c r="A63" s="15" t="str">
        <f>I60</f>
        <v> $ 0.32 </v>
      </c>
      <c r="B63" s="15" t="str">
        <f>I61</f>
        <v> $ 0.54 </v>
      </c>
      <c r="C63">
        <v>24000.0</v>
      </c>
      <c r="D63" t="s">
        <v>8</v>
      </c>
      <c r="V63" s="6"/>
    </row>
    <row r="64" ht="15.75" customHeight="1">
      <c r="A64" s="4"/>
      <c r="B64" s="14"/>
      <c r="C64">
        <v>18000.0</v>
      </c>
      <c r="D64" t="s">
        <v>9</v>
      </c>
      <c r="E64" s="14" t="str">
        <f>A64</f>
        <v/>
      </c>
      <c r="F64" s="14" t="str">
        <f>(B64+A64)</f>
        <v> $ -   </v>
      </c>
      <c r="G64" t="str">
        <f>IF(F64&gt;0, "TRADE","H")</f>
        <v>H</v>
      </c>
      <c r="V64" s="6"/>
    </row>
    <row r="65" ht="15.75" customHeight="1">
      <c r="A65" t="s">
        <v>5</v>
      </c>
      <c r="B65" t="s">
        <v>6</v>
      </c>
      <c r="C65" s="8">
        <v>46148.0</v>
      </c>
    </row>
    <row r="66" ht="15.75" customHeight="1">
      <c r="A66" s="4">
        <v>1725.0</v>
      </c>
      <c r="B66" s="4">
        <v>31.0</v>
      </c>
    </row>
    <row r="67" ht="15.75" customHeight="1">
      <c r="A67" s="13">
        <v>0.6</v>
      </c>
      <c r="B67" s="14">
        <v>0.55</v>
      </c>
      <c r="I67" s="6"/>
    </row>
    <row r="68" ht="15.75" customHeight="1">
      <c r="A68" s="15" t="str">
        <f>$A$63</f>
        <v> $ 0.32 </v>
      </c>
      <c r="B68" s="15" t="str">
        <f>$B$63</f>
        <v> $ 0.54 </v>
      </c>
      <c r="C68">
        <v>24000.0</v>
      </c>
      <c r="D68" t="s">
        <v>8</v>
      </c>
      <c r="V68" s="6"/>
    </row>
    <row r="69" ht="15.75" customHeight="1">
      <c r="A69" s="4" t="str">
        <f>(A68-A67)*C68</f>
        <v>-6840</v>
      </c>
      <c r="B69" s="14" t="str">
        <f>C69*(B67-B68)</f>
        <v> $ 270.00 </v>
      </c>
      <c r="C69">
        <v>18000.0</v>
      </c>
      <c r="D69" t="s">
        <v>9</v>
      </c>
      <c r="E69" s="14" t="str">
        <f>A69</f>
        <v>-$ 6,840.00 </v>
      </c>
      <c r="F69" s="14" t="str">
        <f>(B69+A69)</f>
        <v>-$ 6,570.00 </v>
      </c>
      <c r="G69" t="str">
        <f>IF(F69&gt;0, "TRADE","H")</f>
        <v>H</v>
      </c>
      <c r="V69" s="6"/>
    </row>
    <row r="70" ht="15.75" customHeight="1">
      <c r="A70" t="s">
        <v>5</v>
      </c>
      <c r="B70" t="s">
        <v>6</v>
      </c>
      <c r="C70" s="8">
        <v>46035.0</v>
      </c>
      <c r="H70" s="5" t="str">
        <f t="shared" ref="H70:H71" si="6">(I70-K70)/K70-$D$3</f>
        <v>0.64%</v>
      </c>
      <c r="I70" s="9">
        <v>23.2</v>
      </c>
      <c r="J70" s="10">
        <v>763.0</v>
      </c>
      <c r="K70">
        <v>23.76</v>
      </c>
    </row>
    <row r="71" ht="15.75" customHeight="1">
      <c r="A71" s="4">
        <v>763.0</v>
      </c>
      <c r="B71" s="4">
        <v>2382.0</v>
      </c>
      <c r="H71" s="5" t="str">
        <f t="shared" si="6"/>
        <v>-3.05%</v>
      </c>
      <c r="I71" s="11">
        <v>66.8</v>
      </c>
      <c r="J71" s="12">
        <v>2382.0</v>
      </c>
      <c r="K71">
        <v>71.1</v>
      </c>
      <c r="M71" s="6"/>
    </row>
    <row r="72" ht="15.75" customHeight="1">
      <c r="A72" s="4" t="s">
        <v>7</v>
      </c>
      <c r="B72" s="14" t="s">
        <v>7</v>
      </c>
      <c r="H72" s="5" t="str">
        <f>H70-H71</f>
        <v>3.69%</v>
      </c>
    </row>
    <row r="73" ht="15.75" customHeight="1">
      <c r="A73" s="15" t="str">
        <f>I70</f>
        <v> $ 23.20 </v>
      </c>
      <c r="B73" s="15" t="str">
        <f>I71</f>
        <v> $ 66.80 </v>
      </c>
      <c r="C73">
        <v>600.0</v>
      </c>
      <c r="D73" t="s">
        <v>8</v>
      </c>
      <c r="V73" s="6"/>
    </row>
    <row r="74" ht="15.75" customHeight="1">
      <c r="A74" s="4"/>
      <c r="B74" s="14"/>
      <c r="C74">
        <v>200.0</v>
      </c>
      <c r="D74" t="s">
        <v>9</v>
      </c>
      <c r="E74" s="14" t="str">
        <f>A74</f>
        <v/>
      </c>
      <c r="F74" s="14" t="str">
        <f>(B74+A74)</f>
        <v> $ -   </v>
      </c>
      <c r="G74" t="str">
        <f>IF(F74&gt;0, "TRADE","H")</f>
        <v>H</v>
      </c>
      <c r="V74" s="6"/>
    </row>
    <row r="75" ht="15.75" customHeight="1">
      <c r="A75" t="s">
        <v>5</v>
      </c>
      <c r="B75" t="s">
        <v>6</v>
      </c>
      <c r="C75" s="8">
        <v>46198.0</v>
      </c>
    </row>
    <row r="76" ht="15.75" customHeight="1">
      <c r="A76" s="4">
        <v>2382.0</v>
      </c>
      <c r="B76" s="4">
        <v>763.0</v>
      </c>
      <c r="M76" s="6"/>
    </row>
    <row r="77" ht="15.75" customHeight="1">
      <c r="A77" s="13">
        <v>77.1</v>
      </c>
      <c r="B77" s="14">
        <v>24.56</v>
      </c>
    </row>
    <row r="78" ht="15.75" customHeight="1">
      <c r="A78" s="14" t="str">
        <f>$B$73</f>
        <v> $ 66.80 </v>
      </c>
      <c r="B78" s="14" t="str">
        <f>$A$73</f>
        <v> $ 23.20 </v>
      </c>
      <c r="C78" s="16">
        <v>300.0</v>
      </c>
      <c r="D78" t="s">
        <v>8</v>
      </c>
      <c r="V78" s="6"/>
    </row>
    <row r="79" ht="15.75" customHeight="1">
      <c r="A79" s="4" t="str">
        <f>(A78-A77)*C78</f>
        <v>-3090</v>
      </c>
      <c r="B79" s="14" t="str">
        <f>C79*(B77-B78)</f>
        <v> $ 1,360.00 </v>
      </c>
      <c r="C79" s="16">
        <v>1000.0</v>
      </c>
      <c r="D79" t="s">
        <v>9</v>
      </c>
      <c r="E79" s="14" t="str">
        <f>A79</f>
        <v>-$ 3,090.00 </v>
      </c>
      <c r="F79" s="14" t="str">
        <f>(B79+A79)</f>
        <v>-$ 1,730.00 </v>
      </c>
      <c r="G79" t="str">
        <f>IF(F79&gt;0, "TRADE","H")</f>
        <v>H</v>
      </c>
      <c r="V79" s="6"/>
    </row>
    <row r="80" ht="15.75" customHeight="1">
      <c r="A80" t="s">
        <v>5</v>
      </c>
      <c r="B80" t="s">
        <v>6</v>
      </c>
      <c r="C80" s="8">
        <v>46198.0</v>
      </c>
    </row>
    <row r="81" ht="15.75" customHeight="1">
      <c r="A81" s="4">
        <v>2382.0</v>
      </c>
      <c r="B81" s="4">
        <v>763.0</v>
      </c>
      <c r="I81" s="17"/>
      <c r="M81" s="6"/>
    </row>
    <row r="82" ht="15.75" customHeight="1">
      <c r="A82" s="13">
        <v>76.0</v>
      </c>
      <c r="B82" s="14">
        <v>24.66</v>
      </c>
    </row>
    <row r="83" ht="15.75" customHeight="1">
      <c r="A83" s="14" t="str">
        <f>$B$73</f>
        <v> $ 66.80 </v>
      </c>
      <c r="B83" s="14" t="str">
        <f>$A$73</f>
        <v> $ 23.20 </v>
      </c>
      <c r="C83">
        <v>200.0</v>
      </c>
      <c r="D83" t="s">
        <v>8</v>
      </c>
      <c r="V83" s="6"/>
    </row>
    <row r="84" ht="15.75" customHeight="1">
      <c r="A84" s="4" t="str">
        <f>(A83-A82)*C83</f>
        <v>-1840</v>
      </c>
      <c r="B84" s="14" t="str">
        <f>C84*(B82-B83)</f>
        <v> $ 876.00 </v>
      </c>
      <c r="C84">
        <v>600.0</v>
      </c>
      <c r="D84" t="s">
        <v>9</v>
      </c>
      <c r="E84" s="14" t="str">
        <f>A84</f>
        <v>-$ 1,840.00 </v>
      </c>
      <c r="F84" s="14" t="str">
        <f>(B84+A84)</f>
        <v>-$ 964.00 </v>
      </c>
      <c r="G84" t="str">
        <f>IF(F84&gt;0, "TRADE","H")</f>
        <v>H</v>
      </c>
      <c r="V84" s="6"/>
    </row>
    <row r="85" ht="15.75" customHeight="1">
      <c r="A85" t="s">
        <v>5</v>
      </c>
      <c r="B85" t="s">
        <v>6</v>
      </c>
      <c r="C85" s="8">
        <v>46283.0</v>
      </c>
    </row>
    <row r="86" ht="15.75" customHeight="1">
      <c r="A86" s="4">
        <v>2382.0</v>
      </c>
      <c r="B86" s="4">
        <v>763.0</v>
      </c>
      <c r="I86" s="17"/>
      <c r="M86" s="6"/>
    </row>
    <row r="87" ht="15.75" customHeight="1">
      <c r="A87" s="13">
        <v>67.65</v>
      </c>
      <c r="B87" s="14">
        <v>22.78</v>
      </c>
    </row>
    <row r="88" ht="15.75" customHeight="1">
      <c r="A88" s="14" t="str">
        <f>$B$73</f>
        <v> $ 66.80 </v>
      </c>
      <c r="B88" s="14" t="str">
        <f>$A$73</f>
        <v> $ 23.20 </v>
      </c>
      <c r="C88">
        <v>200.0</v>
      </c>
      <c r="D88" t="s">
        <v>8</v>
      </c>
      <c r="V88" s="6"/>
    </row>
    <row r="89" ht="15.75" customHeight="1">
      <c r="A89" s="4" t="str">
        <f>(A88-A87)*C88</f>
        <v>-170</v>
      </c>
      <c r="B89" s="14" t="str">
        <f>C89*(B87-B88)</f>
        <v>-$ 252.00 </v>
      </c>
      <c r="C89">
        <v>600.0</v>
      </c>
      <c r="D89" t="s">
        <v>9</v>
      </c>
      <c r="E89" s="14" t="str">
        <f>A89</f>
        <v>-$ 170.00 </v>
      </c>
      <c r="F89" s="14" t="str">
        <f>(B89+A89)</f>
        <v>-$ 422.00 </v>
      </c>
      <c r="G89" t="str">
        <f>IF(F89&gt;0, "TRADE","H")</f>
        <v>H</v>
      </c>
      <c r="V89" s="6"/>
    </row>
    <row r="90" ht="15.75" customHeight="1">
      <c r="A90" t="s">
        <v>5</v>
      </c>
      <c r="B90" t="s">
        <v>6</v>
      </c>
      <c r="C90" s="8">
        <v>46283.0</v>
      </c>
    </row>
    <row r="91" ht="15.75" customHeight="1">
      <c r="A91" s="4">
        <v>2382.0</v>
      </c>
      <c r="B91" s="4">
        <v>763.0</v>
      </c>
      <c r="I91" s="17"/>
      <c r="M91" s="6"/>
    </row>
    <row r="92" ht="15.75" customHeight="1">
      <c r="A92" s="13">
        <v>67.1</v>
      </c>
      <c r="B92" s="14">
        <v>22.92</v>
      </c>
    </row>
    <row r="93" ht="15.75" customHeight="1">
      <c r="A93" s="14" t="str">
        <f>$B$73</f>
        <v> $ 66.80 </v>
      </c>
      <c r="B93" s="14" t="str">
        <f>$A$73</f>
        <v> $ 23.20 </v>
      </c>
      <c r="C93">
        <v>200.0</v>
      </c>
      <c r="D93" t="s">
        <v>8</v>
      </c>
      <c r="V93" s="6"/>
    </row>
    <row r="94" ht="15.75" customHeight="1">
      <c r="A94" s="4" t="str">
        <f>(A93-A92)*C93</f>
        <v>-60</v>
      </c>
      <c r="B94" s="14" t="str">
        <f>C94*(B92-B93)</f>
        <v>-$ 168.00 </v>
      </c>
      <c r="C94">
        <v>600.0</v>
      </c>
      <c r="D94" t="s">
        <v>9</v>
      </c>
      <c r="E94" s="14" t="str">
        <f>A94</f>
        <v>-$ 60.00 </v>
      </c>
      <c r="F94" s="14" t="str">
        <f>(B94+A94)</f>
        <v>-$ 228.00 </v>
      </c>
      <c r="G94" t="str">
        <f>IF(F94&gt;0, "TRADE","H")</f>
        <v>H</v>
      </c>
      <c r="V94" s="6"/>
    </row>
    <row r="95" ht="15.75" customHeight="1">
      <c r="A95" t="s">
        <v>5</v>
      </c>
      <c r="B95" t="s">
        <v>6</v>
      </c>
      <c r="C95" s="8">
        <v>46287.0</v>
      </c>
    </row>
    <row r="96" ht="15.75" customHeight="1">
      <c r="A96" s="4">
        <v>763.0</v>
      </c>
      <c r="B96" s="4">
        <v>2382.0</v>
      </c>
      <c r="M96" s="6"/>
    </row>
    <row r="97" ht="15.75" customHeight="1">
      <c r="A97" s="13">
        <v>23.48</v>
      </c>
      <c r="B97" s="14">
        <v>68.65</v>
      </c>
    </row>
    <row r="98" ht="15.75" customHeight="1">
      <c r="A98" s="14" t="str">
        <f>$A$73</f>
        <v> $ 23.20 </v>
      </c>
      <c r="B98" s="14" t="str">
        <f>$B$73</f>
        <v> $ 66.80 </v>
      </c>
      <c r="C98">
        <v>600.0</v>
      </c>
      <c r="D98" t="s">
        <v>8</v>
      </c>
      <c r="V98" s="6"/>
    </row>
    <row r="99" ht="15.75" customHeight="1">
      <c r="A99" s="4" t="str">
        <f>(A98-A97)*C98</f>
        <v>-168</v>
      </c>
      <c r="B99" s="14" t="str">
        <f>C99*(B97-B98)</f>
        <v> $ 370.00 </v>
      </c>
      <c r="C99">
        <v>200.0</v>
      </c>
      <c r="D99" t="s">
        <v>9</v>
      </c>
      <c r="E99" s="14" t="str">
        <f>A99</f>
        <v>-$ 168.00 </v>
      </c>
      <c r="F99" s="14" t="str">
        <f>(B99+A99)</f>
        <v> $ 202.00 </v>
      </c>
      <c r="G99" t="str">
        <f>IF(F99&gt;0, "TRADE","H")</f>
        <v>TRADE</v>
      </c>
      <c r="V99" s="6"/>
    </row>
    <row r="100" ht="15.75" customHeight="1">
      <c r="A100" t="s">
        <v>5</v>
      </c>
      <c r="B100" t="s">
        <v>6</v>
      </c>
      <c r="C100" s="8">
        <v>46262.0</v>
      </c>
    </row>
    <row r="101" ht="15.75" customHeight="1">
      <c r="A101" s="4">
        <v>763.0</v>
      </c>
      <c r="B101" s="4">
        <v>2382.0</v>
      </c>
      <c r="M101" s="6"/>
    </row>
    <row r="102" ht="15.75" customHeight="1">
      <c r="A102" s="13">
        <v>23.76</v>
      </c>
      <c r="B102" s="14">
        <v>65.95</v>
      </c>
    </row>
    <row r="103" ht="15.75" customHeight="1">
      <c r="A103" s="14" t="str">
        <f>$A$73</f>
        <v> $ 23.20 </v>
      </c>
      <c r="B103" s="14" t="str">
        <f>$B$73</f>
        <v> $ 66.80 </v>
      </c>
      <c r="C103">
        <v>600.0</v>
      </c>
      <c r="D103" t="s">
        <v>8</v>
      </c>
      <c r="V103" s="6"/>
    </row>
    <row r="104" ht="15.75" customHeight="1">
      <c r="A104" s="4" t="str">
        <f>(A103-A102)*C103</f>
        <v>-336</v>
      </c>
      <c r="B104" s="14" t="str">
        <f>C104*(B102-B103)</f>
        <v>-$ 170.00 </v>
      </c>
      <c r="C104">
        <v>200.0</v>
      </c>
      <c r="D104" t="s">
        <v>9</v>
      </c>
      <c r="E104" s="14" t="str">
        <f>A104</f>
        <v>-$ 336.00 </v>
      </c>
      <c r="F104" s="14" t="str">
        <f>(B104+A104)</f>
        <v>-$ 506.00 </v>
      </c>
      <c r="G104" t="str">
        <f>IF(F104&gt;0, "TRADE","H")</f>
        <v>H</v>
      </c>
      <c r="V104" s="6"/>
    </row>
    <row r="105" ht="15.75" customHeight="1">
      <c r="A105" t="s">
        <v>5</v>
      </c>
      <c r="B105" t="s">
        <v>6</v>
      </c>
      <c r="C105" s="8">
        <v>46259.0</v>
      </c>
    </row>
    <row r="106" ht="15.75" customHeight="1">
      <c r="A106" s="4">
        <v>763.0</v>
      </c>
      <c r="B106" s="4">
        <v>2382.0</v>
      </c>
      <c r="M106" s="6"/>
    </row>
    <row r="107" ht="15.75" customHeight="1">
      <c r="A107" s="13">
        <v>23.32</v>
      </c>
      <c r="B107" s="14">
        <v>60.65</v>
      </c>
    </row>
    <row r="108" ht="15.75" customHeight="1">
      <c r="A108" s="14" t="str">
        <f>$A$73</f>
        <v> $ 23.20 </v>
      </c>
      <c r="B108" s="14" t="str">
        <f>$B$73</f>
        <v> $ 66.80 </v>
      </c>
      <c r="C108">
        <v>600.0</v>
      </c>
      <c r="D108" t="s">
        <v>8</v>
      </c>
      <c r="V108" s="6"/>
    </row>
    <row r="109" ht="15.75" customHeight="1">
      <c r="A109" s="4" t="str">
        <f>(A108-A107)*C108</f>
        <v>-72</v>
      </c>
      <c r="B109" s="14" t="str">
        <f>C109*(B107-B108)</f>
        <v>-$ 1,230.00 </v>
      </c>
      <c r="C109">
        <v>200.0</v>
      </c>
      <c r="D109" t="s">
        <v>9</v>
      </c>
      <c r="E109" s="14" t="str">
        <f>A109</f>
        <v>-$ 72.00 </v>
      </c>
      <c r="F109" s="14" t="str">
        <f>(B109+A109)</f>
        <v>-$ 1,302.00 </v>
      </c>
      <c r="G109" t="str">
        <f>IF(F109&gt;0, "TRADE","H")</f>
        <v>H</v>
      </c>
      <c r="V109" s="6"/>
    </row>
    <row r="110" ht="15.75" customHeight="1">
      <c r="A110" t="s">
        <v>5</v>
      </c>
      <c r="B110" t="s">
        <v>6</v>
      </c>
      <c r="C110" s="8">
        <v>46255.0</v>
      </c>
    </row>
    <row r="111" ht="15.75" customHeight="1">
      <c r="A111" s="4">
        <v>763.0</v>
      </c>
      <c r="B111" s="4">
        <v>2382.0</v>
      </c>
      <c r="M111" s="6"/>
    </row>
    <row r="112" ht="15.75" customHeight="1">
      <c r="A112" s="13">
        <v>23.9</v>
      </c>
      <c r="B112" s="14">
        <v>59.75</v>
      </c>
    </row>
    <row r="113" ht="15.75" customHeight="1">
      <c r="A113" s="14" t="str">
        <f>$A$73</f>
        <v> $ 23.20 </v>
      </c>
      <c r="B113" s="14" t="str">
        <f>$B$73</f>
        <v> $ 66.80 </v>
      </c>
      <c r="C113">
        <v>600.0</v>
      </c>
      <c r="D113" t="s">
        <v>8</v>
      </c>
      <c r="V113" s="6"/>
    </row>
    <row r="114" ht="15.75" customHeight="1">
      <c r="A114" s="4" t="str">
        <f>(A113-A112)*C113</f>
        <v>-420</v>
      </c>
      <c r="B114" s="14" t="str">
        <f>C114*(B112-B113)</f>
        <v>-$ 1,410.00 </v>
      </c>
      <c r="C114">
        <v>200.0</v>
      </c>
      <c r="D114" t="s">
        <v>9</v>
      </c>
      <c r="E114" s="14" t="str">
        <f>A114</f>
        <v>-$ 420.00 </v>
      </c>
      <c r="F114" s="14" t="str">
        <f>(B114+A114)</f>
        <v>-$ 1,830.00 </v>
      </c>
      <c r="G114" t="str">
        <f>IF(F114&gt;0, "TRADE","H")</f>
        <v>H</v>
      </c>
      <c r="V114" s="6"/>
    </row>
    <row r="115" ht="15.75" customHeight="1">
      <c r="A115" t="s">
        <v>5</v>
      </c>
      <c r="B115" t="s">
        <v>6</v>
      </c>
      <c r="C115" s="8">
        <v>46252.0</v>
      </c>
    </row>
    <row r="116" ht="15.75" customHeight="1">
      <c r="A116" s="4">
        <v>763.0</v>
      </c>
      <c r="B116" s="4">
        <v>2382.0</v>
      </c>
      <c r="M116" s="6"/>
    </row>
    <row r="117" ht="15.75" customHeight="1">
      <c r="A117" s="13">
        <v>25.52</v>
      </c>
      <c r="B117" s="14">
        <v>62.3</v>
      </c>
    </row>
    <row r="118" ht="15.75" customHeight="1">
      <c r="A118" s="14" t="str">
        <f>$A$73</f>
        <v> $ 23.20 </v>
      </c>
      <c r="B118" s="14" t="str">
        <f>$B$73</f>
        <v> $ 66.80 </v>
      </c>
      <c r="C118">
        <v>600.0</v>
      </c>
      <c r="D118" t="s">
        <v>8</v>
      </c>
      <c r="V118" s="6"/>
    </row>
    <row r="119" ht="15.75" customHeight="1">
      <c r="A119" s="4" t="str">
        <f>(A118-A117)*C118</f>
        <v>-1392</v>
      </c>
      <c r="B119" s="14" t="str">
        <f>C119*(B117-B118)</f>
        <v>-$ 900.00 </v>
      </c>
      <c r="C119">
        <v>200.0</v>
      </c>
      <c r="D119" t="s">
        <v>9</v>
      </c>
      <c r="E119" s="14" t="str">
        <f>A119</f>
        <v>-$ 1,392.00 </v>
      </c>
      <c r="F119" s="14" t="str">
        <f>(B119+A119)</f>
        <v>-$ 2,292.00 </v>
      </c>
      <c r="G119" t="str">
        <f>IF(F119&gt;0, "TRADE","H")</f>
        <v>H</v>
      </c>
      <c r="V119" s="6"/>
    </row>
    <row r="120" ht="15.75" customHeight="1">
      <c r="A120" t="s">
        <v>5</v>
      </c>
      <c r="B120" t="s">
        <v>6</v>
      </c>
      <c r="C120" s="8">
        <v>46252.0</v>
      </c>
    </row>
    <row r="121" ht="15.75" customHeight="1">
      <c r="A121" s="4">
        <v>763.0</v>
      </c>
      <c r="B121" s="4">
        <v>2382.0</v>
      </c>
      <c r="M121" s="6"/>
    </row>
    <row r="122" ht="15.75" customHeight="1">
      <c r="A122" s="13">
        <v>25.46</v>
      </c>
      <c r="B122" s="14">
        <v>60.65</v>
      </c>
    </row>
    <row r="123" ht="15.75" customHeight="1">
      <c r="A123" s="14" t="str">
        <f>$A$73</f>
        <v> $ 23.20 </v>
      </c>
      <c r="B123" s="14" t="str">
        <f>$B$73</f>
        <v> $ 66.80 </v>
      </c>
      <c r="C123">
        <v>600.0</v>
      </c>
      <c r="D123" t="s">
        <v>8</v>
      </c>
      <c r="V123" s="6"/>
    </row>
    <row r="124" ht="15.75" customHeight="1">
      <c r="A124" s="4" t="str">
        <f>(A123-A122)*C123</f>
        <v>-1356</v>
      </c>
      <c r="B124" s="14" t="str">
        <f>C124*(B122-B123)</f>
        <v>-$ 1,230.00 </v>
      </c>
      <c r="C124">
        <v>200.0</v>
      </c>
      <c r="D124" t="s">
        <v>9</v>
      </c>
      <c r="E124" s="14" t="str">
        <f>A124</f>
        <v>-$ 1,356.00 </v>
      </c>
      <c r="F124" s="14" t="str">
        <f>(B124+A124)</f>
        <v>-$ 2,586.00 </v>
      </c>
      <c r="G124" t="str">
        <f>IF(F124&gt;0, "TRADE","H")</f>
        <v>H</v>
      </c>
      <c r="V124" s="6"/>
    </row>
    <row r="125" ht="15.75" customHeight="1">
      <c r="A125" t="s">
        <v>5</v>
      </c>
      <c r="B125" t="s">
        <v>6</v>
      </c>
      <c r="C125" s="8">
        <v>46239.0</v>
      </c>
    </row>
    <row r="126" ht="15.75" customHeight="1">
      <c r="A126" s="4">
        <v>763.0</v>
      </c>
      <c r="B126" s="4">
        <v>2382.0</v>
      </c>
      <c r="M126" s="6"/>
    </row>
    <row r="127" ht="15.75" customHeight="1">
      <c r="A127" s="13">
        <v>25.54</v>
      </c>
      <c r="B127" s="14">
        <v>58.8</v>
      </c>
    </row>
    <row r="128" ht="15.75" customHeight="1">
      <c r="A128" s="14" t="str">
        <f>$A$73</f>
        <v> $ 23.20 </v>
      </c>
      <c r="B128" s="14" t="str">
        <f>$B$73</f>
        <v> $ 66.80 </v>
      </c>
      <c r="C128">
        <v>600.0</v>
      </c>
      <c r="D128" t="s">
        <v>8</v>
      </c>
      <c r="V128" s="6"/>
    </row>
    <row r="129" ht="15.75" customHeight="1">
      <c r="A129" s="4" t="str">
        <f>(A128-A127)*C128</f>
        <v>-1404</v>
      </c>
      <c r="B129" s="14" t="str">
        <f>C129*(B127-B128)</f>
        <v>-$ 1,600.00 </v>
      </c>
      <c r="C129">
        <v>200.0</v>
      </c>
      <c r="D129" t="s">
        <v>9</v>
      </c>
      <c r="E129" s="14" t="str">
        <f>A129</f>
        <v>-$ 1,404.00 </v>
      </c>
      <c r="F129" s="14" t="str">
        <f>(B129+A129)</f>
        <v>-$ 3,004.00 </v>
      </c>
      <c r="G129" t="str">
        <f>IF(F129&gt;0, "TRADE","H")</f>
        <v>H</v>
      </c>
      <c r="V129" s="6"/>
    </row>
    <row r="130" ht="15.75" customHeight="1">
      <c r="A130" t="s">
        <v>5</v>
      </c>
      <c r="B130" t="s">
        <v>6</v>
      </c>
      <c r="C130" s="8">
        <v>46220.0</v>
      </c>
    </row>
    <row r="131" ht="15.75" customHeight="1">
      <c r="A131" s="4">
        <v>763.0</v>
      </c>
      <c r="B131" s="4">
        <v>2382.0</v>
      </c>
      <c r="M131" s="6"/>
    </row>
    <row r="132" ht="15.75" customHeight="1">
      <c r="A132" s="13">
        <v>25.52</v>
      </c>
      <c r="B132" s="14">
        <v>56.5</v>
      </c>
    </row>
    <row r="133" ht="15.75" customHeight="1">
      <c r="A133" s="14" t="str">
        <f>$A$73</f>
        <v> $ 23.20 </v>
      </c>
      <c r="B133" s="14" t="str">
        <f>$B$73</f>
        <v> $ 66.80 </v>
      </c>
      <c r="C133">
        <v>600.0</v>
      </c>
      <c r="D133" t="s">
        <v>8</v>
      </c>
      <c r="V133" s="6"/>
    </row>
    <row r="134" ht="15.75" customHeight="1">
      <c r="A134" s="4" t="str">
        <f>(A133-A132)*C133</f>
        <v>-1392</v>
      </c>
      <c r="B134" s="14" t="str">
        <f>C134*(B132-B133)</f>
        <v>-$ 2,060.00 </v>
      </c>
      <c r="C134">
        <v>200.0</v>
      </c>
      <c r="D134" t="s">
        <v>9</v>
      </c>
      <c r="E134" s="14" t="str">
        <f>A134</f>
        <v>-$ 1,392.00 </v>
      </c>
      <c r="F134" s="14" t="str">
        <f>(B134+A134)</f>
        <v>-$ 3,452.00 </v>
      </c>
      <c r="G134" t="str">
        <f>IF(F134&gt;0, "TRADE","H")</f>
        <v>H</v>
      </c>
      <c r="V134" s="6"/>
    </row>
    <row r="135" ht="15.75" customHeight="1">
      <c r="A135" t="s">
        <v>5</v>
      </c>
      <c r="B135" t="s">
        <v>6</v>
      </c>
      <c r="C135" s="8">
        <v>46213.0</v>
      </c>
    </row>
    <row r="136" ht="15.75" customHeight="1">
      <c r="A136" s="4">
        <v>763.0</v>
      </c>
      <c r="B136" s="4">
        <v>2382.0</v>
      </c>
      <c r="M136" s="6"/>
    </row>
    <row r="137" ht="15.75" customHeight="1">
      <c r="A137" s="13">
        <v>25.84</v>
      </c>
      <c r="B137" s="14">
        <v>56.75</v>
      </c>
    </row>
    <row r="138" ht="15.75" customHeight="1">
      <c r="A138" s="14" t="str">
        <f>$A$73</f>
        <v> $ 23.20 </v>
      </c>
      <c r="B138" s="14" t="str">
        <f>$B$73</f>
        <v> $ 66.80 </v>
      </c>
      <c r="C138">
        <v>600.0</v>
      </c>
      <c r="D138" t="s">
        <v>8</v>
      </c>
      <c r="V138" s="6"/>
    </row>
    <row r="139" ht="15.75" customHeight="1">
      <c r="A139" s="4" t="str">
        <f>(A138-A137)*C138</f>
        <v>-1584</v>
      </c>
      <c r="B139" s="14" t="str">
        <f>C139*(B137-B138)</f>
        <v>-$ 2,010.00 </v>
      </c>
      <c r="C139">
        <v>200.0</v>
      </c>
      <c r="D139" t="s">
        <v>9</v>
      </c>
      <c r="E139" s="14" t="str">
        <f>A139</f>
        <v>-$ 1,584.00 </v>
      </c>
      <c r="F139" s="14" t="str">
        <f>(B139+A139)</f>
        <v>-$ 3,594.00 </v>
      </c>
      <c r="G139" t="str">
        <f>IF(F139&gt;0, "TRADE","H")</f>
        <v>H</v>
      </c>
      <c r="V139" s="6"/>
    </row>
    <row r="140" ht="15.75" customHeight="1">
      <c r="A140" t="s">
        <v>5</v>
      </c>
      <c r="B140" t="s">
        <v>6</v>
      </c>
      <c r="C140" s="8">
        <v>46035.0</v>
      </c>
    </row>
    <row r="141" ht="15.75" customHeight="1">
      <c r="A141" s="4">
        <v>763.0</v>
      </c>
      <c r="B141" s="4">
        <v>2382.0</v>
      </c>
      <c r="M141" s="6"/>
    </row>
    <row r="142" ht="15.75" customHeight="1">
      <c r="A142" s="13" t="str">
        <f>-0.47+30.42</f>
        <v>29.95</v>
      </c>
      <c r="B142" s="14" t="str">
        <f>-1.206+66.06</f>
        <v> $ 64.85 </v>
      </c>
    </row>
    <row r="143" ht="15.75" customHeight="1">
      <c r="A143" s="14" t="str">
        <f>$A$73</f>
        <v> $ 23.20 </v>
      </c>
      <c r="B143" s="14" t="str">
        <f>$B$73</f>
        <v> $ 66.80 </v>
      </c>
      <c r="C143">
        <v>600.0</v>
      </c>
      <c r="D143" t="s">
        <v>8</v>
      </c>
      <c r="V143" s="6"/>
    </row>
    <row r="144" ht="15.75" customHeight="1">
      <c r="A144" s="4" t="str">
        <f>(A143-A142)*C143</f>
        <v>-4050</v>
      </c>
      <c r="B144" s="14" t="str">
        <f>C144*(B142-B143)</f>
        <v>-$ 389.20 </v>
      </c>
      <c r="C144">
        <v>200.0</v>
      </c>
      <c r="D144" t="s">
        <v>9</v>
      </c>
      <c r="E144" s="14" t="str">
        <f>A144</f>
        <v>-$ 4,050.00 </v>
      </c>
      <c r="F144" s="14" t="str">
        <f>(B144+A144)</f>
        <v>-$ 4,439.20 </v>
      </c>
      <c r="G144" t="str">
        <f>IF(F144&gt;0, "TRADE","H")</f>
        <v>H</v>
      </c>
      <c r="V144" s="6"/>
    </row>
    <row r="145" ht="15.75" customHeight="1">
      <c r="A145" s="4" t="s">
        <v>5</v>
      </c>
      <c r="B145" s="4"/>
      <c r="C145" s="8">
        <v>46184.0</v>
      </c>
      <c r="F145" s="5"/>
      <c r="H145" s="5" t="str">
        <f t="shared" ref="H145:H146" si="7">(I145-K145)/K145-$D$3</f>
        <v>-2.69%</v>
      </c>
      <c r="I145" s="9">
        <v>394.0</v>
      </c>
      <c r="J145" s="10">
        <v>388.0</v>
      </c>
      <c r="K145">
        <v>417.77</v>
      </c>
      <c r="Q145" s="6"/>
    </row>
    <row r="146" ht="15.75" customHeight="1">
      <c r="A146" s="4">
        <v>388.0</v>
      </c>
      <c r="B146" s="4">
        <v>6030.0</v>
      </c>
      <c r="F146" s="5"/>
      <c r="H146" s="5" t="str">
        <f t="shared" si="7"/>
        <v>-3.66%</v>
      </c>
      <c r="I146" s="11">
        <v>25.54</v>
      </c>
      <c r="J146" s="12">
        <v>6030.0</v>
      </c>
      <c r="K146">
        <v>27.36</v>
      </c>
      <c r="O146" s="6"/>
    </row>
    <row r="147" ht="15.75" customHeight="1">
      <c r="A147" s="13" t="s">
        <v>7</v>
      </c>
      <c r="B147" s="4" t="s">
        <v>7</v>
      </c>
      <c r="F147" s="5"/>
      <c r="H147" s="5" t="str">
        <f>H145-H146</f>
        <v>0.96%</v>
      </c>
      <c r="U147" s="6"/>
    </row>
    <row r="148" ht="15.75" customHeight="1">
      <c r="A148" s="15" t="str">
        <f>hkex</f>
        <v> $ 394.00 </v>
      </c>
      <c r="B148" s="15" t="str">
        <f>I146</f>
        <v> $ 25.54 </v>
      </c>
      <c r="C148">
        <v>2000.0</v>
      </c>
      <c r="F148" s="5"/>
      <c r="H148" s="5"/>
      <c r="Y148" s="6"/>
    </row>
    <row r="149" ht="15.75" customHeight="1">
      <c r="A149" s="4"/>
      <c r="B149" s="4"/>
      <c r="C149">
        <v>100.0</v>
      </c>
      <c r="E149" s="14" t="str">
        <f>A149</f>
        <v/>
      </c>
      <c r="F149" s="4" t="str">
        <f>(B149+A149)</f>
        <v>0</v>
      </c>
      <c r="G149" t="str">
        <f>IF(F149&gt;0, "TRADE","H")</f>
        <v>H</v>
      </c>
      <c r="H149" s="5"/>
      <c r="Y149" s="6"/>
    </row>
    <row r="150" ht="15.75" customHeight="1">
      <c r="A150" s="4" t="s">
        <v>5</v>
      </c>
      <c r="B150" s="4"/>
      <c r="C150" s="8">
        <v>46273.0</v>
      </c>
      <c r="F150" s="5"/>
      <c r="Q150" s="6"/>
    </row>
    <row r="151" ht="15.75" customHeight="1">
      <c r="A151" s="4">
        <v>6030.0</v>
      </c>
      <c r="B151" s="4">
        <v>388.0</v>
      </c>
      <c r="F151" s="5"/>
      <c r="O151" s="6"/>
    </row>
    <row r="152" ht="15.75" customHeight="1">
      <c r="A152" s="13">
        <v>25.76</v>
      </c>
      <c r="B152" s="4">
        <v>402.2</v>
      </c>
      <c r="F152" s="5"/>
      <c r="U152" s="6"/>
    </row>
    <row r="153" ht="15.75" customHeight="1">
      <c r="A153" s="14" t="str">
        <f>$B$148</f>
        <v> $ 25.54 </v>
      </c>
      <c r="B153" s="14" t="str">
        <f>$A$148</f>
        <v> $ 394.00 </v>
      </c>
      <c r="C153">
        <v>100.0</v>
      </c>
      <c r="F153" s="5"/>
      <c r="H153" s="5"/>
      <c r="Y153" s="6"/>
    </row>
    <row r="154" ht="15.75" customHeight="1">
      <c r="A154" s="4" t="str">
        <f>(A153-A152)*C154</f>
        <v>-440</v>
      </c>
      <c r="B154" s="4" t="str">
        <f>(B152-B153)*C153</f>
        <v>820</v>
      </c>
      <c r="C154">
        <v>2000.0</v>
      </c>
      <c r="E154" s="14" t="str">
        <f>A154</f>
        <v>-$ 440.00 </v>
      </c>
      <c r="F154" s="4" t="str">
        <f>(B154+A154)</f>
        <v>380</v>
      </c>
      <c r="G154" t="str">
        <f>IF(F154&gt;0, "TRADE","H")</f>
        <v>TRADE</v>
      </c>
      <c r="H154" s="5"/>
      <c r="Y154" s="6"/>
    </row>
    <row r="155" ht="15.75" customHeight="1">
      <c r="A155" s="4" t="s">
        <v>5</v>
      </c>
      <c r="B155" s="4"/>
      <c r="C155" s="8">
        <v>46211.0</v>
      </c>
      <c r="F155" s="5"/>
      <c r="Q155" s="6"/>
    </row>
    <row r="156" ht="15.75" customHeight="1">
      <c r="A156" s="4">
        <v>6030.0</v>
      </c>
      <c r="B156" s="4">
        <v>388.0</v>
      </c>
      <c r="F156" s="5"/>
      <c r="O156" s="6"/>
    </row>
    <row r="157" ht="15.75" customHeight="1">
      <c r="A157" s="13">
        <v>27.58</v>
      </c>
      <c r="B157" s="4" t="str">
        <f>-7.43+381.4</f>
        <v>373.97</v>
      </c>
      <c r="F157" s="5"/>
      <c r="U157" s="6"/>
    </row>
    <row r="158" ht="15.75" customHeight="1">
      <c r="A158" s="14" t="str">
        <f>$B$148</f>
        <v> $ 25.54 </v>
      </c>
      <c r="B158" s="14" t="str">
        <f>$A$148</f>
        <v> $ 394.00 </v>
      </c>
      <c r="C158">
        <v>100.0</v>
      </c>
      <c r="F158" s="5"/>
      <c r="H158" s="5"/>
      <c r="Y158" s="6"/>
    </row>
    <row r="159" ht="15.75" customHeight="1">
      <c r="A159" s="4" t="str">
        <f>(A158-A157)*C159</f>
        <v>-4080</v>
      </c>
      <c r="B159" s="4" t="str">
        <f>(B157-B158)*C158</f>
        <v>-2003</v>
      </c>
      <c r="C159">
        <v>2000.0</v>
      </c>
      <c r="E159" s="14" t="str">
        <f>A159</f>
        <v>-$ 4,080.00 </v>
      </c>
      <c r="F159" s="4" t="str">
        <f>(B159+A159)</f>
        <v>-6083</v>
      </c>
      <c r="G159" t="str">
        <f>IF(F159&gt;0, "TRADE","H")</f>
        <v>H</v>
      </c>
      <c r="H159" s="5"/>
      <c r="Y159" s="6"/>
    </row>
    <row r="160" ht="15.75" customHeight="1">
      <c r="A160" s="17" t="s">
        <v>12</v>
      </c>
      <c r="B160" s="17" t="s">
        <v>13</v>
      </c>
      <c r="C160" s="8">
        <v>46142.0</v>
      </c>
      <c r="H160" s="5" t="str">
        <f t="shared" ref="H160:H161" si="8">(I160-K160)/K160-$D$3</f>
        <v>-3.94%</v>
      </c>
      <c r="I160" s="11">
        <v>81.15</v>
      </c>
      <c r="J160" s="12">
        <v>1211.0</v>
      </c>
      <c r="K160">
        <v>87.2</v>
      </c>
      <c r="L160" s="6"/>
    </row>
    <row r="161" ht="15.75" customHeight="1">
      <c r="A161" s="4">
        <v>1211.0</v>
      </c>
      <c r="B161" s="4" t="s">
        <v>10</v>
      </c>
      <c r="H161" s="5" t="str">
        <f t="shared" si="8"/>
        <v>-4.28%</v>
      </c>
      <c r="I161" s="11">
        <v>89.2</v>
      </c>
      <c r="J161" s="12" t="s">
        <v>10</v>
      </c>
      <c r="K161">
        <v>96.2</v>
      </c>
      <c r="L161" s="6"/>
      <c r="N161" s="6"/>
    </row>
    <row r="162" ht="15.75" customHeight="1">
      <c r="A162" s="4" t="s">
        <v>7</v>
      </c>
      <c r="B162" s="4" t="s">
        <v>7</v>
      </c>
    </row>
    <row r="163" ht="15.75" customHeight="1">
      <c r="A163" s="15" t="str">
        <f>byd</f>
        <v> $ 81.15 </v>
      </c>
      <c r="B163" s="15" t="str">
        <f>I161</f>
        <v> $ 89.20 </v>
      </c>
      <c r="C163">
        <v>300.0</v>
      </c>
      <c r="D163" t="s">
        <v>8</v>
      </c>
      <c r="E163" s="18"/>
      <c r="H163" s="5"/>
      <c r="Z163" s="6"/>
    </row>
    <row r="164" ht="15.75" customHeight="1">
      <c r="A164" s="14"/>
      <c r="B164" s="14"/>
      <c r="C164">
        <v>300.0</v>
      </c>
      <c r="D164" t="s">
        <v>9</v>
      </c>
      <c r="E164" s="14" t="str">
        <f>A164</f>
        <v/>
      </c>
      <c r="F164" s="14" t="str">
        <f>(B164+A164)</f>
        <v> $ -   </v>
      </c>
      <c r="G164" t="str">
        <f>IF(F164&gt;0, "TRADE","H")</f>
        <v>H</v>
      </c>
      <c r="H164" s="5"/>
      <c r="Z164" s="6"/>
    </row>
    <row r="165" ht="15.75" customHeight="1">
      <c r="A165" s="17" t="s">
        <v>14</v>
      </c>
      <c r="B165" s="17" t="s">
        <v>15</v>
      </c>
      <c r="C165" s="8">
        <v>46244.0</v>
      </c>
      <c r="H165" s="4"/>
      <c r="I165" s="4"/>
      <c r="J165" s="4"/>
      <c r="K165" s="4"/>
      <c r="L165" s="6"/>
    </row>
    <row r="166" ht="15.75" customHeight="1">
      <c r="A166" s="4" t="s">
        <v>10</v>
      </c>
      <c r="B166" s="4">
        <v>1211.0</v>
      </c>
      <c r="L166" s="6"/>
      <c r="N166" s="6"/>
    </row>
    <row r="167" ht="15.75" customHeight="1">
      <c r="A167" s="4">
        <v>106.1</v>
      </c>
      <c r="B167" s="4">
        <v>92.4</v>
      </c>
    </row>
    <row r="168" ht="15.75" customHeight="1">
      <c r="A168" s="14" t="str">
        <f>$B$163</f>
        <v> $ 89.20 </v>
      </c>
      <c r="B168" s="14" t="str">
        <f>$A$163</f>
        <v> $ 81.15 </v>
      </c>
      <c r="C168">
        <v>300.0</v>
      </c>
      <c r="D168" t="s">
        <v>8</v>
      </c>
      <c r="E168" s="18"/>
      <c r="H168" s="5"/>
      <c r="Z168" s="6"/>
    </row>
    <row r="169" ht="15.75" customHeight="1">
      <c r="A169" s="14" t="str">
        <f>C169*(A168-A167)</f>
        <v>-$ 5,070.00 </v>
      </c>
      <c r="B169" s="14" t="str">
        <f>C168*(B167-B168)</f>
        <v> $ 3,375.00 </v>
      </c>
      <c r="C169">
        <v>300.0</v>
      </c>
      <c r="D169" t="s">
        <v>9</v>
      </c>
      <c r="E169" s="14" t="str">
        <f>A169</f>
        <v>-$ 5,070.00 </v>
      </c>
      <c r="F169" s="14" t="str">
        <f>(B169+A169)</f>
        <v>-$ 1,695.00 </v>
      </c>
      <c r="G169" t="str">
        <f>IF(F169&gt;0, "TRADE","H")</f>
        <v>H</v>
      </c>
      <c r="H169" s="5"/>
      <c r="Z169" s="6"/>
    </row>
    <row r="170" ht="15.75" customHeight="1">
      <c r="A170" s="17" t="s">
        <v>16</v>
      </c>
      <c r="B170" s="17" t="s">
        <v>17</v>
      </c>
      <c r="C170" s="8">
        <v>46261.0</v>
      </c>
      <c r="H170" s="4"/>
      <c r="I170" s="4"/>
      <c r="J170" s="4"/>
      <c r="K170" s="4"/>
      <c r="L170" s="6"/>
    </row>
    <row r="171" ht="15.75" customHeight="1">
      <c r="A171" s="4">
        <v>1211.0</v>
      </c>
      <c r="B171" s="4" t="s">
        <v>10</v>
      </c>
      <c r="L171" s="6"/>
      <c r="N171" s="6"/>
    </row>
    <row r="172" ht="15.75" customHeight="1">
      <c r="A172" s="4">
        <v>85.55</v>
      </c>
      <c r="B172" s="4">
        <v>91.35</v>
      </c>
    </row>
    <row r="173" ht="15.75" customHeight="1">
      <c r="A173" s="14" t="str">
        <f>$A$163</f>
        <v> $ 81.15 </v>
      </c>
      <c r="B173" s="14" t="str">
        <f>$B$163</f>
        <v> $ 89.20 </v>
      </c>
      <c r="C173">
        <v>300.0</v>
      </c>
      <c r="D173" t="s">
        <v>8</v>
      </c>
      <c r="E173" s="18"/>
      <c r="H173" s="5"/>
      <c r="Z173" s="6"/>
    </row>
    <row r="174" ht="15.75" customHeight="1">
      <c r="A174" s="14" t="str">
        <f>C174*(A173-A172)</f>
        <v>-$ 1,320.00 </v>
      </c>
      <c r="B174" s="14" t="str">
        <f>C173*(B172-B173)</f>
        <v> $ 645.00 </v>
      </c>
      <c r="C174">
        <v>300.0</v>
      </c>
      <c r="D174" t="s">
        <v>9</v>
      </c>
      <c r="E174" s="14" t="str">
        <f>A174</f>
        <v>-$ 1,320.00 </v>
      </c>
      <c r="F174" s="14" t="str">
        <f>(B174+A174)</f>
        <v>-$ 675.00 </v>
      </c>
      <c r="G174" t="str">
        <f>IF(F174&gt;0, "TRADE","H")</f>
        <v>H</v>
      </c>
      <c r="H174" s="5"/>
      <c r="Z174" s="6"/>
    </row>
    <row r="175" ht="15.75" customHeight="1">
      <c r="A175" s="17" t="s">
        <v>18</v>
      </c>
      <c r="B175" s="17" t="s">
        <v>19</v>
      </c>
      <c r="C175" s="8">
        <v>46261.0</v>
      </c>
      <c r="H175" s="4"/>
      <c r="I175" s="4"/>
      <c r="J175" s="4"/>
      <c r="K175" s="4"/>
      <c r="L175" s="6"/>
    </row>
    <row r="176" ht="15.75" customHeight="1">
      <c r="A176" s="4">
        <v>1211.0</v>
      </c>
      <c r="B176" s="4" t="s">
        <v>10</v>
      </c>
      <c r="L176" s="6"/>
      <c r="N176" s="6"/>
    </row>
    <row r="177" ht="15.75" customHeight="1">
      <c r="A177" s="4">
        <v>92.25</v>
      </c>
      <c r="B177" s="4">
        <v>94.65</v>
      </c>
    </row>
    <row r="178" ht="15.75" customHeight="1">
      <c r="A178" s="14" t="str">
        <f>$A$163</f>
        <v> $ 81.15 </v>
      </c>
      <c r="B178" s="14" t="str">
        <f>$B$163</f>
        <v> $ 89.20 </v>
      </c>
      <c r="C178">
        <v>300.0</v>
      </c>
      <c r="D178" t="s">
        <v>8</v>
      </c>
      <c r="E178" s="18"/>
      <c r="H178" s="5"/>
      <c r="Z178" s="6"/>
    </row>
    <row r="179" ht="15.75" customHeight="1">
      <c r="A179" s="14" t="str">
        <f>C179*(A178-A177)</f>
        <v>-$ 3,330.00 </v>
      </c>
      <c r="B179" s="14" t="str">
        <f>C178*(B177-B178)</f>
        <v> $ 1,635.00 </v>
      </c>
      <c r="C179">
        <v>300.0</v>
      </c>
      <c r="D179" t="s">
        <v>9</v>
      </c>
      <c r="E179" s="14" t="str">
        <f>A179</f>
        <v>-$ 3,330.00 </v>
      </c>
      <c r="F179" s="14" t="str">
        <f>(B179+A179)</f>
        <v>-$ 1,695.00 </v>
      </c>
      <c r="G179" t="str">
        <f>IF(F179&gt;0, "TRADE","H")</f>
        <v>H</v>
      </c>
      <c r="H179" s="5"/>
      <c r="Z179" s="6"/>
    </row>
    <row r="180" ht="15.75" customHeight="1">
      <c r="A180" s="19" t="s">
        <v>20</v>
      </c>
      <c r="B180" s="19" t="s">
        <v>21</v>
      </c>
      <c r="C180" s="20">
        <v>46217.0</v>
      </c>
      <c r="D180" s="19"/>
      <c r="E180" s="19"/>
      <c r="F180" s="19"/>
      <c r="G180" s="19"/>
      <c r="H180" s="21"/>
      <c r="I180" s="21"/>
      <c r="J180" s="21"/>
      <c r="K180" s="21"/>
      <c r="L180" s="22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21" t="s">
        <v>10</v>
      </c>
      <c r="B181" s="21">
        <v>1211.0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22"/>
      <c r="M181" s="19"/>
      <c r="N181" s="22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21">
        <v>104.7</v>
      </c>
      <c r="B182" s="21">
        <v>84.65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23" t="str">
        <f>$B$163</f>
        <v> $ 89.20 </v>
      </c>
      <c r="B183" s="23" t="str">
        <f>$A$163</f>
        <v> $ 81.15 </v>
      </c>
      <c r="C183" s="19">
        <v>300.0</v>
      </c>
      <c r="D183" s="19" t="s">
        <v>8</v>
      </c>
      <c r="E183" s="24"/>
      <c r="F183" s="19"/>
      <c r="G183" s="19"/>
      <c r="H183" s="25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22"/>
    </row>
    <row r="184" ht="15.75" customHeight="1">
      <c r="A184" s="23" t="str">
        <f>C184*(A183-A182)</f>
        <v>-$ 4,650.00 </v>
      </c>
      <c r="B184" s="23" t="str">
        <f>C183*(B182-B183)</f>
        <v> $ 1,050.00 </v>
      </c>
      <c r="C184" s="19">
        <v>300.0</v>
      </c>
      <c r="D184" s="19" t="s">
        <v>9</v>
      </c>
      <c r="E184" s="23" t="str">
        <f>A184</f>
        <v>-$ 4,650.00 </v>
      </c>
      <c r="F184" s="23" t="str">
        <f>(B184+A184)</f>
        <v>-$ 3,600.00 </v>
      </c>
      <c r="G184" s="19" t="str">
        <f>IF(F184&gt;0, "TRADE","H")</f>
        <v>H</v>
      </c>
      <c r="H184" s="25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22"/>
    </row>
    <row r="185" ht="15.75" customHeight="1">
      <c r="A185" s="19" t="s">
        <v>22</v>
      </c>
      <c r="B185" s="19" t="s">
        <v>23</v>
      </c>
      <c r="C185" s="20">
        <v>46217.0</v>
      </c>
      <c r="D185" s="19"/>
      <c r="E185" s="19"/>
      <c r="F185" s="19"/>
      <c r="G185" s="19"/>
      <c r="H185" s="21"/>
      <c r="I185" s="21"/>
      <c r="J185" s="21"/>
      <c r="K185" s="21"/>
      <c r="L185" s="22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21" t="s">
        <v>10</v>
      </c>
      <c r="B186" s="21">
        <v>1211.0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22"/>
      <c r="M186" s="19"/>
      <c r="N186" s="22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21">
        <v>109.1</v>
      </c>
      <c r="B187" s="21">
        <v>83.6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23" t="str">
        <f>$B$163</f>
        <v> $ 89.20 </v>
      </c>
      <c r="B188" s="23" t="str">
        <f>$A$163</f>
        <v> $ 81.15 </v>
      </c>
      <c r="C188" s="19">
        <v>300.0</v>
      </c>
      <c r="D188" s="19" t="s">
        <v>8</v>
      </c>
      <c r="E188" s="24"/>
      <c r="F188" s="19"/>
      <c r="G188" s="19"/>
      <c r="H188" s="25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22"/>
    </row>
    <row r="189" ht="15.75" customHeight="1">
      <c r="A189" s="23" t="str">
        <f>C189*(A188-A187)</f>
        <v>-$ 5,970.00 </v>
      </c>
      <c r="B189" s="23" t="str">
        <f>C188*(B187-B188)</f>
        <v> $ 735.00 </v>
      </c>
      <c r="C189" s="19">
        <v>300.0</v>
      </c>
      <c r="D189" s="19" t="s">
        <v>9</v>
      </c>
      <c r="E189" s="23" t="str">
        <f>A189</f>
        <v>-$ 5,970.00 </v>
      </c>
      <c r="F189" s="23" t="str">
        <f>(B189+A189)</f>
        <v>-$ 5,235.00 </v>
      </c>
      <c r="G189" s="19" t="str">
        <f>IF(F189&gt;0, "TRADE","H")</f>
        <v>H</v>
      </c>
      <c r="H189" s="25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22"/>
    </row>
    <row r="190" ht="15.75" customHeight="1">
      <c r="A190" t="s">
        <v>5</v>
      </c>
      <c r="B190" t="s">
        <v>6</v>
      </c>
      <c r="C190" s="8">
        <v>45944.0</v>
      </c>
      <c r="H190" s="5" t="str">
        <f t="shared" ref="H190:H191" si="9">(I190-K190)/K190-$D$3</f>
        <v>-5.24%</v>
      </c>
      <c r="I190" s="9">
        <v>15.6</v>
      </c>
      <c r="J190" s="10">
        <v>6680.0</v>
      </c>
      <c r="K190">
        <v>17.0</v>
      </c>
    </row>
    <row r="191" ht="15.75" customHeight="1">
      <c r="A191" s="4">
        <v>6680.0</v>
      </c>
      <c r="B191" s="4">
        <v>1211.0</v>
      </c>
      <c r="H191" s="5" t="str">
        <f t="shared" si="9"/>
        <v>-3.88%</v>
      </c>
      <c r="I191" s="11">
        <v>81.2</v>
      </c>
      <c r="J191" s="12">
        <v>1211.0</v>
      </c>
      <c r="K191">
        <v>87.2</v>
      </c>
      <c r="M191" s="6"/>
    </row>
    <row r="192" ht="15.75" customHeight="1">
      <c r="A192" s="13" t="s">
        <v>7</v>
      </c>
      <c r="B192" s="14" t="s">
        <v>7</v>
      </c>
      <c r="H192" s="5" t="str">
        <f>H190-H191</f>
        <v>-1.35%</v>
      </c>
    </row>
    <row r="193" ht="15.75" customHeight="1">
      <c r="A193" s="15" t="str">
        <f>I190</f>
        <v> $ 15.60 </v>
      </c>
      <c r="B193" s="15" t="str">
        <f>I191</f>
        <v> $ 81.20 </v>
      </c>
      <c r="C193">
        <v>800.0</v>
      </c>
      <c r="D193" t="s">
        <v>8</v>
      </c>
      <c r="V193" s="6"/>
    </row>
    <row r="194" ht="15.75" customHeight="1">
      <c r="A194" s="4"/>
      <c r="B194" s="14"/>
      <c r="C194">
        <v>200.0</v>
      </c>
      <c r="D194" t="s">
        <v>9</v>
      </c>
      <c r="E194" s="14" t="str">
        <f>A194</f>
        <v/>
      </c>
      <c r="F194" s="14" t="str">
        <f>(B194+A194)</f>
        <v> $ -   </v>
      </c>
      <c r="G194" t="str">
        <f>IF(F194&gt;0, "TRADE","H")</f>
        <v>H</v>
      </c>
      <c r="V194" s="6"/>
    </row>
    <row r="195" ht="15.75" customHeight="1">
      <c r="A195" t="s">
        <v>5</v>
      </c>
      <c r="B195" t="s">
        <v>6</v>
      </c>
      <c r="C195" s="8">
        <v>45944.0</v>
      </c>
    </row>
    <row r="196" ht="15.75" customHeight="1">
      <c r="A196" s="4">
        <v>6680.0</v>
      </c>
      <c r="B196" s="4">
        <v>1211.0</v>
      </c>
      <c r="M196" s="6"/>
    </row>
    <row r="197" ht="15.75" customHeight="1">
      <c r="A197" s="13" t="str">
        <f>-0.2511-0.197+26.42</f>
        <v>25.9719</v>
      </c>
      <c r="B197" s="14" t="str">
        <f>-0.41+106.4</f>
        <v> $ 105.99 </v>
      </c>
    </row>
    <row r="198" ht="15.75" customHeight="1">
      <c r="A198" s="14" t="str">
        <f>$A$193</f>
        <v> $ 15.60 </v>
      </c>
      <c r="B198" s="14" t="str">
        <f>$B$193</f>
        <v> $ 81.20 </v>
      </c>
      <c r="C198" s="17">
        <v>800.0</v>
      </c>
      <c r="D198" t="s">
        <v>8</v>
      </c>
      <c r="V198" s="6"/>
    </row>
    <row r="199" ht="15.75" customHeight="1">
      <c r="A199" s="4" t="str">
        <f>(A198-A197)*C198</f>
        <v>-8297.52</v>
      </c>
      <c r="B199" s="14" t="str">
        <f>C199*(B197-B198)</f>
        <v> $ 4,958.00 </v>
      </c>
      <c r="C199" s="17">
        <v>200.0</v>
      </c>
      <c r="D199" t="s">
        <v>9</v>
      </c>
      <c r="E199" s="14" t="str">
        <f>A199</f>
        <v>-$ 8,297.52 </v>
      </c>
      <c r="F199" s="14" t="str">
        <f>(B199+A199)</f>
        <v>-$ 3,339.52 </v>
      </c>
      <c r="G199" t="str">
        <f>IF(F199&gt;0, "TRADE","H")</f>
        <v>H</v>
      </c>
      <c r="V199" s="6"/>
    </row>
    <row r="200" ht="15.75" customHeight="1">
      <c r="A200" t="s">
        <v>5</v>
      </c>
      <c r="B200" t="s">
        <v>6</v>
      </c>
      <c r="C200" s="8">
        <v>46206.0</v>
      </c>
    </row>
    <row r="201" ht="15.75" customHeight="1">
      <c r="A201" s="4">
        <v>6680.0</v>
      </c>
      <c r="B201" s="4">
        <v>1211.0</v>
      </c>
      <c r="M201" s="6"/>
    </row>
    <row r="202" ht="15.75" customHeight="1">
      <c r="A202" s="13">
        <v>18.75</v>
      </c>
      <c r="B202" s="14">
        <v>81.6</v>
      </c>
    </row>
    <row r="203" ht="15.75" customHeight="1">
      <c r="A203" s="14" t="str">
        <f>$A$193</f>
        <v> $ 15.60 </v>
      </c>
      <c r="B203" s="14" t="str">
        <f>$B$193</f>
        <v> $ 81.20 </v>
      </c>
      <c r="C203" s="17">
        <v>800.0</v>
      </c>
      <c r="D203" t="s">
        <v>8</v>
      </c>
      <c r="V203" s="6"/>
    </row>
    <row r="204" ht="15.75" customHeight="1">
      <c r="A204" s="4" t="str">
        <f>(A203-A202)*C203</f>
        <v>-2520</v>
      </c>
      <c r="B204" s="14" t="str">
        <f>C204*(B202-B203)</f>
        <v> $ 80.00 </v>
      </c>
      <c r="C204" s="17">
        <v>200.0</v>
      </c>
      <c r="D204" t="s">
        <v>9</v>
      </c>
      <c r="E204" s="14" t="str">
        <f>A204</f>
        <v>-$ 2,520.00 </v>
      </c>
      <c r="F204" s="14" t="str">
        <f>(B204+A204)</f>
        <v>-$ 2,440.00 </v>
      </c>
      <c r="G204" t="str">
        <f>IF(F204&gt;0, "TRADE","H")</f>
        <v>H</v>
      </c>
      <c r="V204" s="6"/>
    </row>
    <row r="205" ht="15.75" customHeight="1">
      <c r="A205" t="s">
        <v>5</v>
      </c>
      <c r="B205" t="s">
        <v>6</v>
      </c>
      <c r="C205" s="8">
        <v>46212.0</v>
      </c>
    </row>
    <row r="206" ht="15.75" customHeight="1">
      <c r="A206" s="4">
        <v>6680.0</v>
      </c>
      <c r="B206" s="4">
        <v>1211.0</v>
      </c>
      <c r="M206" s="6"/>
    </row>
    <row r="207" ht="15.75" customHeight="1">
      <c r="A207" s="13">
        <v>17.96</v>
      </c>
      <c r="B207" s="14">
        <v>84.45</v>
      </c>
    </row>
    <row r="208" ht="15.75" customHeight="1">
      <c r="A208" s="14" t="str">
        <f>$A$193</f>
        <v> $ 15.60 </v>
      </c>
      <c r="B208" s="14" t="str">
        <f>$B$193</f>
        <v> $ 81.20 </v>
      </c>
      <c r="C208" s="26">
        <v>1200.0</v>
      </c>
      <c r="D208" t="s">
        <v>8</v>
      </c>
      <c r="V208" s="6"/>
    </row>
    <row r="209" ht="15.75" customHeight="1">
      <c r="A209" s="4" t="str">
        <f>(A208-A207)*C208</f>
        <v>-2832</v>
      </c>
      <c r="B209" s="14" t="str">
        <f>C209*(B207-B208)</f>
        <v> $ 975.00 </v>
      </c>
      <c r="C209" s="26">
        <v>300.0</v>
      </c>
      <c r="D209" t="s">
        <v>9</v>
      </c>
      <c r="E209" s="14" t="str">
        <f>A209</f>
        <v>-$ 2,832.00 </v>
      </c>
      <c r="F209" s="14" t="str">
        <f>(B209+A209)</f>
        <v>-$ 1,857.00 </v>
      </c>
      <c r="G209" t="str">
        <f>IF(F209&gt;0, "TRADE","H")</f>
        <v>H</v>
      </c>
      <c r="V209" s="6"/>
    </row>
    <row r="210" ht="15.75" customHeight="1">
      <c r="A210" t="s">
        <v>5</v>
      </c>
      <c r="B210" t="s">
        <v>6</v>
      </c>
      <c r="C210" s="8">
        <v>46213.0</v>
      </c>
    </row>
    <row r="211" ht="15.75" customHeight="1">
      <c r="A211" s="4">
        <v>6680.0</v>
      </c>
      <c r="B211" s="4">
        <v>1211.0</v>
      </c>
      <c r="M211" s="6"/>
    </row>
    <row r="212" ht="15.75" customHeight="1">
      <c r="A212" s="13">
        <v>17.86</v>
      </c>
      <c r="B212" s="14">
        <v>84.95</v>
      </c>
    </row>
    <row r="213" ht="15.75" customHeight="1">
      <c r="A213" s="14" t="str">
        <f>$A$193</f>
        <v> $ 15.60 </v>
      </c>
      <c r="B213" s="14" t="str">
        <f>$B$193</f>
        <v> $ 81.20 </v>
      </c>
      <c r="C213" s="26">
        <v>1200.0</v>
      </c>
      <c r="D213" t="s">
        <v>8</v>
      </c>
      <c r="V213" s="6"/>
    </row>
    <row r="214" ht="15.75" customHeight="1">
      <c r="A214" s="4" t="str">
        <f>(A213-A212)*C213</f>
        <v>-2712</v>
      </c>
      <c r="B214" s="14" t="str">
        <f>C214*(B212-B213)</f>
        <v> $ 1,125.00 </v>
      </c>
      <c r="C214" s="26">
        <v>300.0</v>
      </c>
      <c r="D214" t="s">
        <v>9</v>
      </c>
      <c r="E214" s="14" t="str">
        <f>A214</f>
        <v>-$ 2,712.00 </v>
      </c>
      <c r="F214" s="14" t="str">
        <f>(B214+A214)</f>
        <v>-$ 1,587.00 </v>
      </c>
      <c r="G214" t="str">
        <f>IF(F214&gt;0, "TRADE","H")</f>
        <v>H</v>
      </c>
      <c r="V214" s="6"/>
    </row>
    <row r="215" ht="15.75" customHeight="1">
      <c r="A215" t="s">
        <v>5</v>
      </c>
      <c r="B215" t="s">
        <v>6</v>
      </c>
      <c r="C215" s="8">
        <v>46213.0</v>
      </c>
    </row>
    <row r="216" ht="15.75" customHeight="1">
      <c r="A216" s="4">
        <v>6680.0</v>
      </c>
      <c r="B216" s="4">
        <v>1211.0</v>
      </c>
      <c r="M216" s="6"/>
    </row>
    <row r="217" ht="15.75" customHeight="1">
      <c r="A217" s="13">
        <v>17.47</v>
      </c>
      <c r="B217" s="14">
        <v>85.65</v>
      </c>
    </row>
    <row r="218" ht="15.75" customHeight="1">
      <c r="A218" s="14" t="str">
        <f>$A$193</f>
        <v> $ 15.60 </v>
      </c>
      <c r="B218" s="14" t="str">
        <f>$B$193</f>
        <v> $ 81.20 </v>
      </c>
      <c r="C218" s="17">
        <v>800.0</v>
      </c>
      <c r="D218" t="s">
        <v>8</v>
      </c>
      <c r="V218" s="6"/>
    </row>
    <row r="219" ht="15.75" customHeight="1">
      <c r="A219" s="4" t="str">
        <f>(A218-A217)*C218</f>
        <v>-1496</v>
      </c>
      <c r="B219" s="14" t="str">
        <f>C219*(B217-B218)</f>
        <v> $ 890.00 </v>
      </c>
      <c r="C219" s="17">
        <v>200.0</v>
      </c>
      <c r="D219" t="s">
        <v>9</v>
      </c>
      <c r="E219" s="14" t="str">
        <f>A219</f>
        <v>-$ 1,496.00 </v>
      </c>
      <c r="F219" s="14" t="str">
        <f>(B219+A219)</f>
        <v>-$ 606.00 </v>
      </c>
      <c r="G219" t="str">
        <f>IF(F219&gt;0, "TRADE","H")</f>
        <v>H</v>
      </c>
      <c r="V219" s="6"/>
    </row>
    <row r="220" ht="15.75" customHeight="1">
      <c r="A220" t="s">
        <v>5</v>
      </c>
      <c r="B220" t="s">
        <v>6</v>
      </c>
      <c r="C220" s="8">
        <v>46287.0</v>
      </c>
    </row>
    <row r="221" ht="15.75" customHeight="1">
      <c r="A221" s="4">
        <v>6680.0</v>
      </c>
      <c r="B221" s="4">
        <v>1211.0</v>
      </c>
      <c r="M221" s="6"/>
    </row>
    <row r="222" ht="15.75" customHeight="1">
      <c r="A222" s="13">
        <v>16.09</v>
      </c>
      <c r="B222" s="14">
        <v>81.4</v>
      </c>
    </row>
    <row r="223" ht="15.75" customHeight="1">
      <c r="A223" s="14" t="str">
        <f>$A$193</f>
        <v> $ 15.60 </v>
      </c>
      <c r="B223" s="14" t="str">
        <f>$B$193</f>
        <v> $ 81.20 </v>
      </c>
      <c r="C223" s="17">
        <v>800.0</v>
      </c>
      <c r="D223" t="s">
        <v>8</v>
      </c>
      <c r="V223" s="6"/>
    </row>
    <row r="224" ht="15.75" customHeight="1">
      <c r="A224" s="4" t="str">
        <f>(A223-A222)*C223</f>
        <v>-392</v>
      </c>
      <c r="B224" s="14" t="str">
        <f>C224*(B222-B223)</f>
        <v> $ 40.00 </v>
      </c>
      <c r="C224" s="17">
        <v>200.0</v>
      </c>
      <c r="D224" t="s">
        <v>9</v>
      </c>
      <c r="E224" s="14" t="str">
        <f>A224</f>
        <v>-$ 392.00 </v>
      </c>
      <c r="F224" s="14" t="str">
        <f>(B224+A224)</f>
        <v>-$ 352.00 </v>
      </c>
      <c r="G224" t="str">
        <f>IF(F224&gt;0, "TRADE","H")</f>
        <v>H</v>
      </c>
      <c r="V224" s="6"/>
    </row>
    <row r="225" ht="15.75" customHeight="1">
      <c r="A225" t="s">
        <v>5</v>
      </c>
      <c r="B225" t="s">
        <v>6</v>
      </c>
      <c r="C225" s="8">
        <v>46286.0</v>
      </c>
    </row>
    <row r="226" ht="15.75" customHeight="1">
      <c r="A226" s="4">
        <v>1211.0</v>
      </c>
      <c r="B226" s="4">
        <v>6680.0</v>
      </c>
      <c r="M226" s="6"/>
    </row>
    <row r="227" ht="15.75" customHeight="1">
      <c r="A227" s="13">
        <v>81.2</v>
      </c>
      <c r="B227" s="14">
        <v>15.96</v>
      </c>
    </row>
    <row r="228" ht="15.75" customHeight="1">
      <c r="A228" s="14" t="str">
        <f>$B$193</f>
        <v> $ 81.20 </v>
      </c>
      <c r="B228" s="14" t="str">
        <f>$A$193</f>
        <v> $ 15.60 </v>
      </c>
      <c r="C228" s="17">
        <v>200.0</v>
      </c>
      <c r="D228" t="s">
        <v>8</v>
      </c>
      <c r="V228" s="6"/>
    </row>
    <row r="229" ht="15.75" customHeight="1">
      <c r="A229" s="4" t="str">
        <f>(A228-A227)*C228</f>
        <v>0</v>
      </c>
      <c r="B229" s="14" t="str">
        <f>C229*(B227-B228)</f>
        <v> $ 288.00 </v>
      </c>
      <c r="C229" s="17">
        <v>800.0</v>
      </c>
      <c r="D229" t="s">
        <v>9</v>
      </c>
      <c r="E229" s="14" t="str">
        <f>A229</f>
        <v> $ -   </v>
      </c>
      <c r="F229" s="14" t="str">
        <f>(B229+A229)</f>
        <v> $ 288.00 </v>
      </c>
      <c r="G229" t="str">
        <f>IF(F229&gt;0, "TRADE","H")</f>
        <v>TRADE</v>
      </c>
      <c r="V229" s="6"/>
    </row>
    <row r="230" ht="15.75" customHeight="1">
      <c r="A230" t="s">
        <v>5</v>
      </c>
      <c r="B230" t="s">
        <v>6</v>
      </c>
      <c r="C230" s="8">
        <v>46267.0</v>
      </c>
    </row>
    <row r="231" ht="15.75" customHeight="1">
      <c r="A231" s="4">
        <v>1211.0</v>
      </c>
      <c r="B231" s="4">
        <v>6680.0</v>
      </c>
      <c r="M231" s="6"/>
    </row>
    <row r="232" ht="15.75" customHeight="1">
      <c r="A232" s="13">
        <v>84.75</v>
      </c>
      <c r="B232" s="14">
        <v>16.25</v>
      </c>
    </row>
    <row r="233" ht="15.75" customHeight="1">
      <c r="A233" s="14" t="str">
        <f>$B$193</f>
        <v> $ 81.20 </v>
      </c>
      <c r="B233" s="14" t="str">
        <f>$A$193</f>
        <v> $ 15.60 </v>
      </c>
      <c r="C233" s="17">
        <v>200.0</v>
      </c>
      <c r="D233" t="s">
        <v>8</v>
      </c>
      <c r="V233" s="6"/>
    </row>
    <row r="234" ht="15.75" customHeight="1">
      <c r="A234" s="4" t="str">
        <f>(A233-A232)*C233</f>
        <v>-710</v>
      </c>
      <c r="B234" s="14" t="str">
        <f>C234*(B232-B233)</f>
        <v> $ 520.00 </v>
      </c>
      <c r="C234" s="17">
        <v>800.0</v>
      </c>
      <c r="D234" t="s">
        <v>9</v>
      </c>
      <c r="E234" s="14" t="str">
        <f>A234</f>
        <v>-$ 710.00 </v>
      </c>
      <c r="F234" s="14" t="str">
        <f>(B234+A234)</f>
        <v>-$ 190.00 </v>
      </c>
      <c r="G234" t="str">
        <f>IF(F234&gt;0, "TRADE","H")</f>
        <v>H</v>
      </c>
      <c r="V234" s="6"/>
    </row>
    <row r="235" ht="15.75" customHeight="1">
      <c r="A235" t="s">
        <v>5</v>
      </c>
      <c r="B235" t="s">
        <v>6</v>
      </c>
      <c r="C235" s="8">
        <v>46265.0</v>
      </c>
    </row>
    <row r="236" ht="15.75" customHeight="1">
      <c r="A236" s="4">
        <v>1211.0</v>
      </c>
      <c r="B236" s="4">
        <v>6680.0</v>
      </c>
      <c r="M236" s="6"/>
    </row>
    <row r="237" ht="15.75" customHeight="1">
      <c r="A237" s="13">
        <v>88.5</v>
      </c>
      <c r="B237" s="14">
        <v>16.97</v>
      </c>
    </row>
    <row r="238" ht="15.75" customHeight="1">
      <c r="A238" s="14" t="str">
        <f>$B$193</f>
        <v> $ 81.20 </v>
      </c>
      <c r="B238" s="14" t="str">
        <f>$A$193</f>
        <v> $ 15.60 </v>
      </c>
      <c r="C238" s="26">
        <v>300.0</v>
      </c>
      <c r="D238" t="s">
        <v>8</v>
      </c>
      <c r="V238" s="6"/>
    </row>
    <row r="239" ht="15.75" customHeight="1">
      <c r="A239" s="4" t="str">
        <f>(A238-A237)*C238</f>
        <v>-2190</v>
      </c>
      <c r="B239" s="14" t="str">
        <f>C239*(B237-B238)</f>
        <v> $ 1,644.00 </v>
      </c>
      <c r="C239" s="26">
        <v>1200.0</v>
      </c>
      <c r="D239" t="s">
        <v>9</v>
      </c>
      <c r="E239" s="14" t="str">
        <f>A239</f>
        <v>-$ 2,190.00 </v>
      </c>
      <c r="F239" s="14" t="str">
        <f>(B239+A239)</f>
        <v>-$ 546.00 </v>
      </c>
      <c r="G239" t="str">
        <f>IF(F239&gt;0, "TRADE","H")</f>
        <v>H</v>
      </c>
      <c r="V239" s="6"/>
    </row>
    <row r="240" ht="15.75" customHeight="1">
      <c r="A240" t="s">
        <v>5</v>
      </c>
      <c r="B240" t="s">
        <v>6</v>
      </c>
      <c r="C240" s="8">
        <v>46261.0</v>
      </c>
    </row>
    <row r="241" ht="15.75" customHeight="1">
      <c r="A241" s="4">
        <v>1211.0</v>
      </c>
      <c r="B241" s="4">
        <v>6680.0</v>
      </c>
      <c r="M241" s="6"/>
    </row>
    <row r="242" ht="15.75" customHeight="1">
      <c r="A242" s="13">
        <v>91.25</v>
      </c>
      <c r="B242" s="14">
        <v>17.23</v>
      </c>
    </row>
    <row r="243" ht="15.75" customHeight="1">
      <c r="A243" s="14" t="str">
        <f>$B$193</f>
        <v> $ 81.20 </v>
      </c>
      <c r="B243" s="14" t="str">
        <f>$A$193</f>
        <v> $ 15.60 </v>
      </c>
      <c r="C243" s="17">
        <v>200.0</v>
      </c>
      <c r="D243" t="s">
        <v>8</v>
      </c>
      <c r="V243" s="6"/>
    </row>
    <row r="244" ht="15.75" customHeight="1">
      <c r="A244" s="4" t="str">
        <f>(A243-A242)*C243</f>
        <v>-2010</v>
      </c>
      <c r="B244" s="14" t="str">
        <f>C244*(B242-B243)</f>
        <v> $ 1,304.00 </v>
      </c>
      <c r="C244" s="17">
        <v>800.0</v>
      </c>
      <c r="D244" t="s">
        <v>9</v>
      </c>
      <c r="E244" s="14" t="str">
        <f>A244</f>
        <v>-$ 2,010.00 </v>
      </c>
      <c r="F244" s="14" t="str">
        <f>(B244+A244)</f>
        <v>-$ 706.00 </v>
      </c>
      <c r="G244" t="str">
        <f>IF(F244&gt;0, "TRADE","H")</f>
        <v>H</v>
      </c>
      <c r="V244" s="6"/>
    </row>
    <row r="245" ht="15.75" customHeight="1">
      <c r="A245" s="4">
        <v>2024.0</v>
      </c>
      <c r="B245" s="14"/>
      <c r="E245" s="14"/>
      <c r="H245" s="5" t="str">
        <f t="shared" ref="H245:H246" si="10">(I245-K245)/K245-$D$3</f>
        <v>5.10%</v>
      </c>
      <c r="I245" s="9">
        <v>0.194</v>
      </c>
      <c r="J245" s="10">
        <v>2007.0</v>
      </c>
      <c r="K245">
        <v>0.19</v>
      </c>
      <c r="V245" s="6"/>
    </row>
    <row r="246" ht="15.75" customHeight="1">
      <c r="A246" t="s">
        <v>5</v>
      </c>
      <c r="B246" t="s">
        <v>6</v>
      </c>
      <c r="C246" s="8">
        <v>45345.0</v>
      </c>
      <c r="H246" s="5" t="str">
        <f t="shared" si="10"/>
        <v>0.52%</v>
      </c>
      <c r="I246" s="11">
        <v>0.59</v>
      </c>
      <c r="J246" s="12">
        <v>1918.0</v>
      </c>
      <c r="K246">
        <v>0.605</v>
      </c>
    </row>
    <row r="247" ht="15.75" customHeight="1">
      <c r="A247" s="4">
        <v>2007.0</v>
      </c>
      <c r="B247" s="4">
        <v>1918.0</v>
      </c>
      <c r="H247" s="5" t="str">
        <f>H245-H246</f>
        <v>4.58%</v>
      </c>
      <c r="M247" s="6"/>
    </row>
    <row r="248" ht="15.75" customHeight="1">
      <c r="A248" s="13" t="s">
        <v>7</v>
      </c>
      <c r="B248" s="14" t="s">
        <v>7</v>
      </c>
    </row>
    <row r="249" ht="15.75" customHeight="1">
      <c r="A249" s="15" t="str">
        <f>I245</f>
        <v> $ 0.19 </v>
      </c>
      <c r="B249" s="15" t="str">
        <f>I246</f>
        <v> $ 0.59 </v>
      </c>
      <c r="C249">
        <v>16000.0</v>
      </c>
      <c r="D249" t="s">
        <v>8</v>
      </c>
      <c r="V249" s="6"/>
    </row>
    <row r="250" ht="15.75" customHeight="1">
      <c r="A250" s="4"/>
      <c r="B250" s="14"/>
      <c r="C250">
        <v>6000.0</v>
      </c>
      <c r="D250" t="s">
        <v>9</v>
      </c>
      <c r="E250" s="14" t="str">
        <f>A250</f>
        <v/>
      </c>
      <c r="F250" s="14" t="str">
        <f>(B250+A250)</f>
        <v> $ -   </v>
      </c>
      <c r="G250" t="str">
        <f>IF(F250&gt;0, "TRADE","H")</f>
        <v>H</v>
      </c>
      <c r="V250" s="6"/>
    </row>
    <row r="251" ht="15.75" customHeight="1">
      <c r="A251" t="s">
        <v>5</v>
      </c>
      <c r="B251" t="s">
        <v>6</v>
      </c>
      <c r="C251" s="8">
        <v>46077.0</v>
      </c>
    </row>
    <row r="252" ht="15.75" customHeight="1">
      <c r="A252" s="4">
        <v>1918.0</v>
      </c>
      <c r="B252" s="4">
        <v>1918.0</v>
      </c>
      <c r="M252" s="6"/>
    </row>
    <row r="253" ht="15.75" customHeight="1">
      <c r="A253" s="13">
        <v>1.24</v>
      </c>
      <c r="B253" s="14">
        <v>0.31</v>
      </c>
    </row>
    <row r="254" ht="15.75" customHeight="1">
      <c r="A254" s="14" t="str">
        <f>$B$249</f>
        <v> $ 0.59 </v>
      </c>
      <c r="B254" s="14" t="str">
        <f>$A$249</f>
        <v> $ 0.19 </v>
      </c>
      <c r="C254">
        <v>6000.0</v>
      </c>
      <c r="D254" t="s">
        <v>8</v>
      </c>
      <c r="V254" s="6"/>
    </row>
    <row r="255" ht="15.75" customHeight="1">
      <c r="A255" s="4" t="str">
        <f>(A254-A253)*C254</f>
        <v>-3900</v>
      </c>
      <c r="B255" s="14" t="str">
        <f>C255*(B253-B254)</f>
        <v> $ 1,856.00 </v>
      </c>
      <c r="C255">
        <v>16000.0</v>
      </c>
      <c r="D255" t="s">
        <v>9</v>
      </c>
      <c r="E255" s="14" t="str">
        <f>A255</f>
        <v>-$ 3,900.00 </v>
      </c>
      <c r="F255" s="14" t="str">
        <f>(B255+A255)</f>
        <v>-$ 2,044.00 </v>
      </c>
      <c r="G255" t="str">
        <f>IF(F255&gt;0, "TRADE","H")</f>
        <v>H</v>
      </c>
      <c r="V255" s="6"/>
    </row>
    <row r="256" ht="15.75" customHeight="1">
      <c r="A256" t="s">
        <v>5</v>
      </c>
      <c r="B256" t="s">
        <v>6</v>
      </c>
      <c r="C256" s="8">
        <v>46170.0</v>
      </c>
    </row>
    <row r="257" ht="15.75" customHeight="1">
      <c r="A257" s="4">
        <v>1918.0</v>
      </c>
      <c r="B257" s="4">
        <v>1918.0</v>
      </c>
      <c r="M257" s="6"/>
    </row>
    <row r="258" ht="15.75" customHeight="1">
      <c r="A258" s="13">
        <v>0.9</v>
      </c>
      <c r="B258" s="14">
        <v>0.21</v>
      </c>
    </row>
    <row r="259" ht="15.75" customHeight="1">
      <c r="A259" s="14" t="str">
        <f>$B$249</f>
        <v> $ 0.59 </v>
      </c>
      <c r="B259" s="14" t="str">
        <f>$A$249</f>
        <v> $ 0.19 </v>
      </c>
      <c r="C259">
        <v>6000.0</v>
      </c>
      <c r="D259" t="s">
        <v>8</v>
      </c>
      <c r="V259" s="6"/>
    </row>
    <row r="260" ht="15.75" customHeight="1">
      <c r="A260" s="4" t="str">
        <f>(A259-A258)*C259</f>
        <v>-1860</v>
      </c>
      <c r="B260" s="14" t="str">
        <f>C260*(B258-B259)</f>
        <v> $ 256.00 </v>
      </c>
      <c r="C260">
        <v>16000.0</v>
      </c>
      <c r="D260" t="s">
        <v>9</v>
      </c>
      <c r="E260" s="14" t="str">
        <f>A260</f>
        <v>-$ 1,860.00 </v>
      </c>
      <c r="F260" s="14" t="str">
        <f>(B260+A260)</f>
        <v>-$ 1,604.00 </v>
      </c>
      <c r="G260" t="str">
        <f>IF(F260&gt;0, "TRADE","H")</f>
        <v>H</v>
      </c>
      <c r="V260" s="6"/>
    </row>
    <row r="261" ht="15.75" customHeight="1">
      <c r="A261" t="s">
        <v>5</v>
      </c>
      <c r="B261" t="s">
        <v>6</v>
      </c>
      <c r="H261" s="5" t="str">
        <f t="shared" ref="H261:H262" si="11">(I261-K261)/K261-$D$3</f>
        <v>11.42%</v>
      </c>
      <c r="I261" s="9">
        <v>104.3</v>
      </c>
      <c r="J261" s="10" t="s">
        <v>24</v>
      </c>
      <c r="K261">
        <v>96.2</v>
      </c>
      <c r="Z261" s="6"/>
    </row>
    <row r="262" ht="15.75" customHeight="1">
      <c r="A262" s="4" t="s">
        <v>25</v>
      </c>
      <c r="B262" s="4">
        <v>700.0</v>
      </c>
      <c r="H262" s="5" t="str">
        <f t="shared" si="11"/>
        <v>1.19%</v>
      </c>
      <c r="I262" s="11">
        <v>444.8</v>
      </c>
      <c r="J262" s="12">
        <v>700.0</v>
      </c>
      <c r="K262">
        <v>453.0</v>
      </c>
      <c r="Z262" s="6"/>
    </row>
    <row r="263" ht="15.75" customHeight="1">
      <c r="A263" s="4">
        <v>150.0</v>
      </c>
      <c r="B263" s="4" t="str">
        <f>-3.4+352</f>
        <v>348.6</v>
      </c>
      <c r="H263" s="5" t="str">
        <f>H261-H262</f>
        <v>10.23%</v>
      </c>
      <c r="Z263" s="6"/>
    </row>
    <row r="264" ht="15.75" customHeight="1">
      <c r="A264" s="15" t="str">
        <f>I261</f>
        <v> $ 104.30 </v>
      </c>
      <c r="B264" s="15" t="str">
        <f>I262</f>
        <v> $ 444.80 </v>
      </c>
      <c r="C264">
        <v>100.0</v>
      </c>
      <c r="D264" t="s">
        <v>8</v>
      </c>
      <c r="H264" s="5"/>
      <c r="Z264" s="6"/>
    </row>
    <row r="265" ht="15.75" customHeight="1">
      <c r="A265" s="4" t="str">
        <f>(A264-A263)*C265</f>
        <v>-13710</v>
      </c>
      <c r="B265" s="4" t="str">
        <f>(B263-B264)*C264</f>
        <v>-9620</v>
      </c>
      <c r="C265">
        <v>300.0</v>
      </c>
      <c r="D265" t="s">
        <v>9</v>
      </c>
      <c r="E265" s="14" t="str">
        <f>A265</f>
        <v>-$ 13,710.00 </v>
      </c>
      <c r="F265" s="4" t="str">
        <f>(B265+A265)</f>
        <v>-23330</v>
      </c>
      <c r="G265" t="str">
        <f>IF(F265&gt;0, "TRADE","H")</f>
        <v>H</v>
      </c>
      <c r="H265" s="5"/>
      <c r="Z265" s="6"/>
    </row>
    <row r="266" ht="15.75" customHeight="1">
      <c r="A266" t="s">
        <v>5</v>
      </c>
      <c r="B266" t="s">
        <v>6</v>
      </c>
      <c r="H266" s="5" t="str">
        <f t="shared" ref="H266:H267" si="12">(I266-K266)/K266-$D$3</f>
        <v>-11.92%</v>
      </c>
      <c r="I266" s="11">
        <v>23.28</v>
      </c>
      <c r="J266" s="10">
        <v>6030.0</v>
      </c>
      <c r="K266">
        <v>27.36</v>
      </c>
      <c r="U266" s="6"/>
    </row>
    <row r="267" ht="15.75" customHeight="1">
      <c r="A267" s="4" t="s">
        <v>25</v>
      </c>
      <c r="B267" s="4">
        <v>6030.0</v>
      </c>
      <c r="H267" s="5" t="str">
        <f t="shared" si="12"/>
        <v>48.53%</v>
      </c>
      <c r="I267" s="11">
        <v>140.0</v>
      </c>
      <c r="J267" s="12" t="s">
        <v>10</v>
      </c>
      <c r="K267">
        <v>96.2</v>
      </c>
      <c r="U267" s="6"/>
    </row>
    <row r="268" ht="15.75" customHeight="1">
      <c r="A268" s="13">
        <v>149.5</v>
      </c>
      <c r="B268" s="4" t="str">
        <f>-0.32-0.2619-0.521+16.36</f>
        <v>15.2571</v>
      </c>
      <c r="H268" s="5" t="str">
        <f>H266-H267</f>
        <v>-60.44%</v>
      </c>
      <c r="I268" s="17"/>
      <c r="Y268" s="6"/>
    </row>
    <row r="269" ht="15.75" customHeight="1">
      <c r="A269" s="15" t="str">
        <f>I267</f>
        <v> $ 140.00 </v>
      </c>
      <c r="B269" s="15" t="str">
        <f>I266</f>
        <v> $ 23.28 </v>
      </c>
      <c r="C269">
        <v>4000.0</v>
      </c>
      <c r="H269" s="5"/>
      <c r="Y269" s="6"/>
    </row>
    <row r="270" ht="15.75" customHeight="1">
      <c r="A270" s="4" t="str">
        <f>(A269-A268)*C270</f>
        <v>-4750</v>
      </c>
      <c r="B270" s="4" t="str">
        <f>(B268-B269)*C269</f>
        <v>-32091.6</v>
      </c>
      <c r="C270">
        <v>500.0</v>
      </c>
      <c r="E270" s="14" t="str">
        <f>A270</f>
        <v>-$ 4,750.00 </v>
      </c>
      <c r="F270" s="4" t="str">
        <f>(B270+A270)</f>
        <v>-36841.6</v>
      </c>
      <c r="G270" t="str">
        <f>IF(F270&gt;0, "TRADE","H")</f>
        <v>H</v>
      </c>
      <c r="H270" s="5"/>
      <c r="Y270" s="6"/>
    </row>
    <row r="271" ht="15.75" customHeight="1">
      <c r="A271" t="s">
        <v>5</v>
      </c>
      <c r="B271" t="s">
        <v>6</v>
      </c>
      <c r="H271" s="5"/>
      <c r="U271" s="6"/>
    </row>
    <row r="272" ht="15.75" customHeight="1">
      <c r="A272" s="4" t="s">
        <v>25</v>
      </c>
      <c r="B272" s="4">
        <v>6030.0</v>
      </c>
      <c r="H272" s="5"/>
      <c r="U272" s="6"/>
    </row>
    <row r="273" ht="15.75" customHeight="1">
      <c r="A273" s="13">
        <v>138.3</v>
      </c>
      <c r="B273" s="4" t="str">
        <f>-0.32-0.3-0.2619+15.64</f>
        <v>14.7581</v>
      </c>
      <c r="H273" s="5"/>
      <c r="Y273" s="6"/>
    </row>
    <row r="274" ht="15.75" customHeight="1">
      <c r="A274" s="14" t="str">
        <f t="shared" ref="A274:B274" si="13">A269</f>
        <v> $ 140.00 </v>
      </c>
      <c r="B274" s="14" t="str">
        <f t="shared" si="13"/>
        <v> $ 23.28 </v>
      </c>
      <c r="C274">
        <v>4000.0</v>
      </c>
      <c r="H274" s="5"/>
      <c r="Y274" s="6"/>
    </row>
    <row r="275" ht="15.75" customHeight="1">
      <c r="A275" s="4" t="str">
        <f>(A274-A273)*C275</f>
        <v>850</v>
      </c>
      <c r="B275" s="4" t="str">
        <f>(B273-B274)*C274</f>
        <v>-34087.6</v>
      </c>
      <c r="C275">
        <v>500.0</v>
      </c>
      <c r="E275" s="14" t="str">
        <f>A275</f>
        <v> $ 850.00 </v>
      </c>
      <c r="F275" s="4" t="str">
        <f>(B275+A275)</f>
        <v>-33237.6</v>
      </c>
      <c r="G275" t="str">
        <f>IF(F275&gt;0, "TRADE","H")</f>
        <v>H</v>
      </c>
      <c r="H275" s="5"/>
      <c r="N275" s="6"/>
      <c r="Y275" s="6"/>
    </row>
    <row r="276" ht="15.75" customHeight="1">
      <c r="A276" t="s">
        <v>5</v>
      </c>
      <c r="B276" t="s">
        <v>6</v>
      </c>
      <c r="C276" s="8">
        <v>45908.0</v>
      </c>
      <c r="H276" s="5" t="str">
        <f t="shared" ref="H276:H277" si="14">(I276-K276)/K276-$D$3</f>
        <v>-3.68%</v>
      </c>
      <c r="I276" s="9">
        <v>66.35</v>
      </c>
      <c r="J276" s="10">
        <v>2382.0</v>
      </c>
      <c r="K276">
        <v>71.1</v>
      </c>
      <c r="N276" s="6"/>
    </row>
    <row r="277" ht="15.75" customHeight="1">
      <c r="A277" s="4">
        <v>2382.0</v>
      </c>
      <c r="B277" s="4" t="s">
        <v>25</v>
      </c>
      <c r="H277" s="5" t="str">
        <f t="shared" si="14"/>
        <v>-3.92%</v>
      </c>
      <c r="I277" s="9">
        <v>89.55</v>
      </c>
      <c r="J277" s="12" t="s">
        <v>10</v>
      </c>
      <c r="K277">
        <v>96.2</v>
      </c>
    </row>
    <row r="278" ht="15.75" customHeight="1">
      <c r="A278" s="13" t="s">
        <v>7</v>
      </c>
      <c r="B278" s="4" t="s">
        <v>7</v>
      </c>
      <c r="H278" s="5" t="str">
        <f>H276-H277</f>
        <v>0.23%</v>
      </c>
      <c r="I278" s="17"/>
      <c r="Y278" s="6"/>
    </row>
    <row r="279" ht="15.75" customHeight="1">
      <c r="A279" s="15" t="str">
        <f>I276</f>
        <v> $ 66.35 </v>
      </c>
      <c r="B279" s="15" t="str">
        <f>I277</f>
        <v> $ 89.55 </v>
      </c>
      <c r="C279">
        <v>200.0</v>
      </c>
      <c r="H279" s="5"/>
      <c r="Y279" s="6"/>
    </row>
    <row r="280" ht="15.75" customHeight="1">
      <c r="A280" s="4"/>
      <c r="B280" s="4"/>
      <c r="C280">
        <v>200.0</v>
      </c>
      <c r="E280" s="14" t="str">
        <f>A280</f>
        <v/>
      </c>
      <c r="F280" s="4" t="str">
        <f>(B280+A280)</f>
        <v>0</v>
      </c>
      <c r="G280" t="str">
        <f>IF(F280&gt;0, "TRADE","H")</f>
        <v>H</v>
      </c>
      <c r="H280" s="5"/>
      <c r="N280" s="6"/>
      <c r="Y280" s="6"/>
    </row>
    <row r="281" ht="15.75" customHeight="1">
      <c r="A281" t="s">
        <v>5</v>
      </c>
      <c r="B281" t="s">
        <v>6</v>
      </c>
      <c r="C281" s="8">
        <v>46265.0</v>
      </c>
      <c r="J281" s="6"/>
    </row>
    <row r="282" ht="15.75" customHeight="1">
      <c r="A282" s="4" t="s">
        <v>25</v>
      </c>
      <c r="B282" s="4">
        <v>2382.0</v>
      </c>
    </row>
    <row r="283" ht="15.75" customHeight="1">
      <c r="A283" s="13">
        <v>93.7</v>
      </c>
      <c r="B283" s="4">
        <v>68.0</v>
      </c>
      <c r="U283" s="6"/>
    </row>
    <row r="284" ht="15.75" customHeight="1">
      <c r="A284" s="14" t="str">
        <f>$B$279</f>
        <v> $ 89.55 </v>
      </c>
      <c r="B284" s="14" t="str">
        <f>$A$279</f>
        <v> $ 66.35 </v>
      </c>
      <c r="C284">
        <v>200.0</v>
      </c>
      <c r="H284" s="5"/>
      <c r="Y284" s="6"/>
    </row>
    <row r="285" ht="15.75" customHeight="1">
      <c r="A285" s="4" t="str">
        <f>(A284-A283)*C285</f>
        <v>-830</v>
      </c>
      <c r="B285" s="4" t="str">
        <f>(B283-B284)*C284</f>
        <v>330</v>
      </c>
      <c r="C285">
        <v>200.0</v>
      </c>
      <c r="E285" s="14" t="str">
        <f>A285</f>
        <v>-$ 830.00 </v>
      </c>
      <c r="F285" s="4" t="str">
        <f>(B285+A285)</f>
        <v>-500</v>
      </c>
      <c r="G285" t="str">
        <f>IF(F285&gt;0, "TRADE","H")</f>
        <v>H</v>
      </c>
      <c r="H285" s="5"/>
      <c r="N285" s="6"/>
      <c r="Y285" s="6"/>
    </row>
    <row r="286" ht="15.75" customHeight="1">
      <c r="A286" t="s">
        <v>5</v>
      </c>
      <c r="B286" t="s">
        <v>6</v>
      </c>
      <c r="C286" s="8">
        <v>46283.0</v>
      </c>
      <c r="H286" s="5"/>
      <c r="N286" s="6"/>
    </row>
    <row r="287" ht="15.75" customHeight="1">
      <c r="A287" s="4">
        <v>2382.0</v>
      </c>
      <c r="B287" s="4" t="s">
        <v>25</v>
      </c>
      <c r="H287" s="5"/>
    </row>
    <row r="288" ht="15.75" customHeight="1">
      <c r="A288" s="13">
        <v>67.0</v>
      </c>
      <c r="B288" s="4">
        <v>89.5</v>
      </c>
      <c r="H288" s="5"/>
      <c r="Y288" s="6"/>
    </row>
    <row r="289" ht="15.75" customHeight="1">
      <c r="A289" s="14" t="str">
        <f>$A$279</f>
        <v> $ 66.35 </v>
      </c>
      <c r="B289" s="14" t="str">
        <f>$B$279</f>
        <v> $ 89.55 </v>
      </c>
      <c r="C289">
        <v>200.0</v>
      </c>
      <c r="H289" s="5"/>
      <c r="Y289" s="6"/>
    </row>
    <row r="290" ht="15.75" customHeight="1">
      <c r="A290" s="4" t="str">
        <f>(A289-A288)*C290</f>
        <v>-130</v>
      </c>
      <c r="B290" s="4" t="str">
        <f>(B288-B289)*C289</f>
        <v>-10</v>
      </c>
      <c r="C290">
        <v>200.0</v>
      </c>
      <c r="E290" s="14" t="str">
        <f>A290</f>
        <v>-$ 130.00 </v>
      </c>
      <c r="F290" s="4" t="str">
        <f>(B290+A290)</f>
        <v>-140</v>
      </c>
      <c r="G290" t="str">
        <f>IF(F290&gt;0, "TRADE","H")</f>
        <v>H</v>
      </c>
      <c r="H290" s="5"/>
      <c r="N290" s="6"/>
      <c r="Y290" s="6"/>
    </row>
    <row r="291" ht="15.75" customHeight="1">
      <c r="A291" t="s">
        <v>5</v>
      </c>
      <c r="B291" t="s">
        <v>6</v>
      </c>
      <c r="C291" s="8">
        <v>45901.0</v>
      </c>
      <c r="H291" s="5"/>
      <c r="N291" s="6"/>
    </row>
    <row r="292" ht="15.75" customHeight="1">
      <c r="A292" s="4">
        <v>2382.0</v>
      </c>
      <c r="B292" s="4" t="s">
        <v>25</v>
      </c>
      <c r="H292" s="5"/>
    </row>
    <row r="293" ht="15.75" customHeight="1">
      <c r="A293" s="13" t="str">
        <f>-1.206+83.65</f>
        <v>82.444</v>
      </c>
      <c r="B293" s="4">
        <v>93.9</v>
      </c>
      <c r="H293" s="5"/>
      <c r="Y293" s="6"/>
    </row>
    <row r="294" ht="15.75" customHeight="1">
      <c r="A294" s="14" t="str">
        <f>$A$279</f>
        <v> $ 66.35 </v>
      </c>
      <c r="B294" s="14" t="str">
        <f>$B$279</f>
        <v> $ 89.55 </v>
      </c>
      <c r="C294">
        <v>200.0</v>
      </c>
      <c r="H294" s="5"/>
      <c r="Y294" s="6"/>
    </row>
    <row r="295" ht="15.75" customHeight="1">
      <c r="A295" s="4" t="str">
        <f>(A294-A293)*C295</f>
        <v>-3218.8</v>
      </c>
      <c r="B295" s="4" t="str">
        <f>(B293-B294)*C294</f>
        <v>870</v>
      </c>
      <c r="C295">
        <v>200.0</v>
      </c>
      <c r="E295" s="14" t="str">
        <f>A295</f>
        <v>-$ 3,218.80 </v>
      </c>
      <c r="F295" s="4" t="str">
        <f>(B295+A295)</f>
        <v>-2348.8</v>
      </c>
      <c r="G295" t="str">
        <f>IF(F295&gt;0, "TRADE","H")</f>
        <v>H</v>
      </c>
      <c r="H295" s="5"/>
      <c r="N295" s="6"/>
      <c r="Y295" s="6"/>
    </row>
    <row r="296" ht="15.75" customHeight="1">
      <c r="A296" t="s">
        <v>5</v>
      </c>
      <c r="B296" t="s">
        <v>6</v>
      </c>
      <c r="C296" s="8">
        <v>45898.0</v>
      </c>
      <c r="H296" s="5"/>
      <c r="N296" s="6"/>
    </row>
    <row r="297" ht="15.75" customHeight="1">
      <c r="A297" s="4">
        <v>2382.0</v>
      </c>
      <c r="B297" s="4" t="s">
        <v>25</v>
      </c>
      <c r="H297" s="5"/>
    </row>
    <row r="298" ht="15.75" customHeight="1">
      <c r="A298" s="13" t="str">
        <f>-1.206+83.55</f>
        <v>82.344</v>
      </c>
      <c r="B298" s="4">
        <v>89.7</v>
      </c>
      <c r="H298" s="5"/>
      <c r="Y298" s="6"/>
    </row>
    <row r="299" ht="15.75" customHeight="1">
      <c r="A299" s="14" t="str">
        <f>$A$279</f>
        <v> $ 66.35 </v>
      </c>
      <c r="B299" s="14" t="str">
        <f>$B$279</f>
        <v> $ 89.55 </v>
      </c>
      <c r="C299">
        <v>200.0</v>
      </c>
      <c r="H299" s="5"/>
      <c r="Y299" s="6"/>
    </row>
    <row r="300" ht="15.75" customHeight="1">
      <c r="A300" s="4" t="str">
        <f>(A299-A298)*C300</f>
        <v>-3198.8</v>
      </c>
      <c r="B300" s="4" t="str">
        <f>(B298-B299)*C299</f>
        <v>30</v>
      </c>
      <c r="C300">
        <v>200.0</v>
      </c>
      <c r="E300" s="14" t="str">
        <f>A300</f>
        <v>-$ 3,198.80 </v>
      </c>
      <c r="F300" s="4" t="str">
        <f>(B300+A300)</f>
        <v>-3168.8</v>
      </c>
      <c r="G300" t="str">
        <f>IF(F300&gt;0, "TRADE","H")</f>
        <v>H</v>
      </c>
      <c r="H300" s="5"/>
      <c r="N300" s="6"/>
      <c r="Y300" s="6"/>
    </row>
    <row r="301" ht="15.75" customHeight="1">
      <c r="A301" t="s">
        <v>5</v>
      </c>
      <c r="B301" t="s">
        <v>6</v>
      </c>
      <c r="C301" s="8">
        <v>45898.0</v>
      </c>
      <c r="H301" s="5"/>
      <c r="N301" s="6"/>
    </row>
    <row r="302" ht="15.75" customHeight="1">
      <c r="A302" s="4">
        <v>2382.0</v>
      </c>
      <c r="B302" s="4" t="s">
        <v>25</v>
      </c>
      <c r="H302" s="5"/>
    </row>
    <row r="303" ht="15.75" customHeight="1">
      <c r="A303" s="13" t="str">
        <f>-1.206+82</f>
        <v>80.794</v>
      </c>
      <c r="B303" s="4">
        <v>87.9</v>
      </c>
      <c r="H303" s="5"/>
      <c r="Y303" s="6"/>
    </row>
    <row r="304" ht="15.75" customHeight="1">
      <c r="A304" s="14" t="str">
        <f>$A$279</f>
        <v> $ 66.35 </v>
      </c>
      <c r="B304" s="14" t="str">
        <f>$B$279</f>
        <v> $ 89.55 </v>
      </c>
      <c r="C304">
        <v>200.0</v>
      </c>
      <c r="H304" s="5"/>
      <c r="Y304" s="6"/>
    </row>
    <row r="305" ht="15.75" customHeight="1">
      <c r="A305" s="4" t="str">
        <f>(A304-A303)*C305</f>
        <v>-2888.8</v>
      </c>
      <c r="B305" s="4" t="str">
        <f>(B303-B304)*C304</f>
        <v>-330</v>
      </c>
      <c r="C305">
        <v>200.0</v>
      </c>
      <c r="E305" s="14" t="str">
        <f>A305</f>
        <v>-$ 2,888.80 </v>
      </c>
      <c r="F305" s="4" t="str">
        <f>(B305+A305)</f>
        <v>-3218.8</v>
      </c>
      <c r="G305" t="str">
        <f>IF(F305&gt;0, "TRADE","H")</f>
        <v>H</v>
      </c>
      <c r="H305" s="5"/>
      <c r="N305" s="6"/>
      <c r="Y305" s="6"/>
    </row>
    <row r="306" ht="15.75" customHeight="1">
      <c r="A306" t="s">
        <v>5</v>
      </c>
      <c r="B306" t="s">
        <v>6</v>
      </c>
      <c r="C306" s="8">
        <v>45719.0</v>
      </c>
      <c r="H306" s="5"/>
      <c r="N306" s="6"/>
    </row>
    <row r="307" ht="15.75" customHeight="1">
      <c r="A307" s="4">
        <v>2382.0</v>
      </c>
      <c r="B307" s="4" t="s">
        <v>25</v>
      </c>
      <c r="H307" s="5"/>
    </row>
    <row r="308" ht="15.75" customHeight="1">
      <c r="A308" s="13" t="str">
        <f>-1.206-0.532+84.25</f>
        <v>82.512</v>
      </c>
      <c r="B308" s="4">
        <v>83.9</v>
      </c>
      <c r="H308" s="5"/>
      <c r="Y308" s="6"/>
    </row>
    <row r="309" ht="15.75" customHeight="1">
      <c r="A309" s="14" t="str">
        <f>$A$279</f>
        <v> $ 66.35 </v>
      </c>
      <c r="B309" s="14" t="str">
        <f>$B$279</f>
        <v> $ 89.55 </v>
      </c>
      <c r="C309">
        <v>200.0</v>
      </c>
      <c r="H309" s="5"/>
      <c r="Y309" s="6"/>
    </row>
    <row r="310" ht="15.75" customHeight="1">
      <c r="A310" s="4" t="str">
        <f>(A309-A308)*C310</f>
        <v>-3232.4</v>
      </c>
      <c r="B310" s="4" t="str">
        <f>(B308-B309)*C309</f>
        <v>-1130</v>
      </c>
      <c r="C310">
        <v>200.0</v>
      </c>
      <c r="E310" s="14" t="str">
        <f>A310</f>
        <v>-$ 3,232.40 </v>
      </c>
      <c r="F310" s="4" t="str">
        <f>(B310+A310)</f>
        <v>-4362.4</v>
      </c>
      <c r="G310" t="str">
        <f>IF(F310&gt;0, "TRADE","H")</f>
        <v>H</v>
      </c>
      <c r="H310" s="5"/>
      <c r="N310" s="6"/>
      <c r="Y310" s="6"/>
    </row>
    <row r="311" ht="15.75" customHeight="1">
      <c r="A311" t="s">
        <v>5</v>
      </c>
      <c r="B311" t="s">
        <v>6</v>
      </c>
      <c r="C311" s="8">
        <v>45726.0</v>
      </c>
      <c r="H311" s="5"/>
      <c r="N311" s="6"/>
    </row>
    <row r="312" ht="15.75" customHeight="1">
      <c r="A312" s="4">
        <v>2382.0</v>
      </c>
      <c r="B312" s="4" t="s">
        <v>25</v>
      </c>
      <c r="H312" s="5"/>
    </row>
    <row r="313" ht="15.75" customHeight="1">
      <c r="A313" s="13" t="str">
        <f>-1.206-0.532+84.25</f>
        <v>82.512</v>
      </c>
      <c r="B313" s="4">
        <v>83.9</v>
      </c>
      <c r="H313" s="5"/>
      <c r="Y313" s="6"/>
    </row>
    <row r="314" ht="15.75" customHeight="1">
      <c r="A314" s="14" t="str">
        <f>$A$279</f>
        <v> $ 66.35 </v>
      </c>
      <c r="B314" s="14" t="str">
        <f>$B$279</f>
        <v> $ 89.55 </v>
      </c>
      <c r="C314">
        <v>200.0</v>
      </c>
      <c r="H314" s="5"/>
      <c r="Y314" s="6"/>
    </row>
    <row r="315" ht="15.75" customHeight="1">
      <c r="A315" s="4" t="str">
        <f>(A314-A313)*C315</f>
        <v>-3232.4</v>
      </c>
      <c r="B315" s="4" t="str">
        <f>(B313-B314)*C314</f>
        <v>-1130</v>
      </c>
      <c r="C315">
        <v>200.0</v>
      </c>
      <c r="E315" s="14" t="str">
        <f>A315</f>
        <v>-$ 3,232.40 </v>
      </c>
      <c r="F315" s="4" t="str">
        <f>(B315+A315)</f>
        <v>-4362.4</v>
      </c>
      <c r="G315" t="str">
        <f>IF(F315&gt;0, "TRADE","H")</f>
        <v>H</v>
      </c>
      <c r="H315" s="5"/>
      <c r="Y315" s="6"/>
    </row>
    <row r="316" ht="15.75" customHeight="1">
      <c r="A316" t="s">
        <v>5</v>
      </c>
      <c r="B316" t="s">
        <v>6</v>
      </c>
      <c r="C316" s="8">
        <v>45965.0</v>
      </c>
      <c r="H316" s="5" t="str">
        <f t="shared" ref="H316:H317" si="15">(I316-K316)/K316-$D$3</f>
        <v>-2.66%</v>
      </c>
      <c r="I316" s="9">
        <v>80.0</v>
      </c>
      <c r="J316" s="10">
        <v>9880.0</v>
      </c>
      <c r="K316">
        <v>84.8</v>
      </c>
      <c r="Z316" s="6"/>
    </row>
    <row r="317" ht="15.75" customHeight="1">
      <c r="A317" s="4">
        <v>9880.0</v>
      </c>
      <c r="B317" s="4" t="s">
        <v>25</v>
      </c>
      <c r="H317" s="5" t="str">
        <f t="shared" si="15"/>
        <v>-3.97%</v>
      </c>
      <c r="I317" s="9">
        <v>89.5</v>
      </c>
      <c r="J317" s="12" t="s">
        <v>10</v>
      </c>
      <c r="K317">
        <v>96.2</v>
      </c>
      <c r="Z317" s="6"/>
    </row>
    <row r="318" ht="15.75" customHeight="1">
      <c r="A318" s="13">
        <v>137.1</v>
      </c>
      <c r="B318" s="4">
        <v>125.1</v>
      </c>
      <c r="H318" s="5" t="str">
        <f>H316-H317</f>
        <v>1.30%</v>
      </c>
      <c r="I318" s="17"/>
      <c r="Z318" s="6"/>
    </row>
    <row r="319" ht="15.75" customHeight="1">
      <c r="A319" s="15" t="str">
        <f>I316</f>
        <v> $ 80.00 </v>
      </c>
      <c r="B319" s="15" t="str">
        <f>I317</f>
        <v> $ 89.50 </v>
      </c>
      <c r="C319">
        <v>200.0</v>
      </c>
      <c r="D319" t="s">
        <v>8</v>
      </c>
      <c r="H319" s="5"/>
      <c r="Z319" s="6"/>
    </row>
    <row r="320" ht="15.75" customHeight="1">
      <c r="A320" s="4" t="str">
        <f>(A319-A318)*C320</f>
        <v>-11420</v>
      </c>
      <c r="B320" s="4" t="str">
        <f>(B318-B319)*C319</f>
        <v>7120</v>
      </c>
      <c r="C320">
        <v>200.0</v>
      </c>
      <c r="D320" t="s">
        <v>9</v>
      </c>
      <c r="E320" s="14" t="str">
        <f>A320</f>
        <v>-$ 11,420.00 </v>
      </c>
      <c r="F320" s="4" t="str">
        <f>(B320+A320)</f>
        <v>-4300</v>
      </c>
      <c r="G320" t="str">
        <f>IF(F320&gt;0, "TRADE","H")</f>
        <v>H</v>
      </c>
      <c r="H320" s="5"/>
      <c r="Z320" s="6"/>
    </row>
    <row r="321" ht="15.75" customHeight="1">
      <c r="A321" t="s">
        <v>5</v>
      </c>
      <c r="B321" t="s">
        <v>6</v>
      </c>
      <c r="C321" s="8">
        <v>46217.0</v>
      </c>
      <c r="H321" s="5"/>
      <c r="Z321" s="6"/>
    </row>
    <row r="322" ht="15.75" customHeight="1">
      <c r="A322" s="4" t="s">
        <v>25</v>
      </c>
      <c r="B322" s="4">
        <v>9880.0</v>
      </c>
      <c r="H322" s="5"/>
      <c r="Z322" s="6"/>
    </row>
    <row r="323" ht="15.75" customHeight="1">
      <c r="A323" s="13">
        <v>109.1</v>
      </c>
      <c r="B323" s="4">
        <v>81.85</v>
      </c>
      <c r="H323" s="5"/>
      <c r="Z323" s="6"/>
    </row>
    <row r="324" ht="15.75" customHeight="1">
      <c r="A324" s="14" t="str">
        <f>$B$319</f>
        <v> $ 89.50 </v>
      </c>
      <c r="B324" s="14" t="str">
        <f>$A$319</f>
        <v> $ 80.00 </v>
      </c>
      <c r="C324">
        <v>200.0</v>
      </c>
      <c r="D324" t="s">
        <v>8</v>
      </c>
      <c r="H324" s="5"/>
      <c r="Z324" s="6"/>
    </row>
    <row r="325" ht="15.75" customHeight="1">
      <c r="A325" s="4" t="str">
        <f>(A324-A323)*C325</f>
        <v>-3920</v>
      </c>
      <c r="B325" s="4" t="str">
        <f>(B323-B324)*C324</f>
        <v>370</v>
      </c>
      <c r="C325">
        <v>200.0</v>
      </c>
      <c r="D325" t="s">
        <v>9</v>
      </c>
      <c r="E325" s="14" t="str">
        <f>A325</f>
        <v>-$ 3,920.00 </v>
      </c>
      <c r="F325" s="4" t="str">
        <f>(B325+A325)</f>
        <v>-3550</v>
      </c>
      <c r="G325" t="str">
        <f>IF(F325&gt;0, "TRADE","H")</f>
        <v>H</v>
      </c>
      <c r="H325" s="5"/>
      <c r="Z325" s="6"/>
    </row>
    <row r="326" ht="15.75" customHeight="1">
      <c r="A326" t="s">
        <v>5</v>
      </c>
      <c r="B326" t="s">
        <v>6</v>
      </c>
      <c r="C326" s="8">
        <v>46217.0</v>
      </c>
      <c r="H326" s="5"/>
      <c r="Z326" s="6"/>
    </row>
    <row r="327" ht="15.75" customHeight="1">
      <c r="A327" s="4" t="s">
        <v>25</v>
      </c>
      <c r="B327" s="4">
        <v>9880.0</v>
      </c>
      <c r="H327" s="5"/>
      <c r="Z327" s="6"/>
    </row>
    <row r="328" ht="15.75" customHeight="1">
      <c r="A328" s="13">
        <v>105.7</v>
      </c>
      <c r="B328" s="4">
        <v>80.25</v>
      </c>
      <c r="H328" s="5"/>
      <c r="Z328" s="6"/>
    </row>
    <row r="329" ht="15.75" customHeight="1">
      <c r="A329" s="14" t="str">
        <f>$B$319</f>
        <v> $ 89.50 </v>
      </c>
      <c r="B329" s="14" t="str">
        <f>$A$319</f>
        <v> $ 80.00 </v>
      </c>
      <c r="C329">
        <v>200.0</v>
      </c>
      <c r="D329" t="s">
        <v>8</v>
      </c>
      <c r="H329" s="5"/>
      <c r="Z329" s="6"/>
    </row>
    <row r="330" ht="15.75" customHeight="1">
      <c r="A330" s="4" t="str">
        <f>(A329-A328)*C330</f>
        <v>-3240</v>
      </c>
      <c r="B330" s="4" t="str">
        <f>(B328-B329)*C329</f>
        <v>50</v>
      </c>
      <c r="C330">
        <v>200.0</v>
      </c>
      <c r="D330" t="s">
        <v>9</v>
      </c>
      <c r="E330" s="14" t="str">
        <f>A330</f>
        <v>-$ 3,240.00 </v>
      </c>
      <c r="F330" s="4" t="str">
        <f>(B330+A330)</f>
        <v>-3190</v>
      </c>
      <c r="G330" t="str">
        <f>IF(F330&gt;0, "TRADE","H")</f>
        <v>H</v>
      </c>
      <c r="H330" s="5"/>
      <c r="Z330" s="6"/>
    </row>
    <row r="331" ht="15.75" customHeight="1">
      <c r="A331" t="s">
        <v>5</v>
      </c>
      <c r="B331" t="s">
        <v>6</v>
      </c>
      <c r="C331" s="8">
        <v>46231.0</v>
      </c>
      <c r="H331" s="5"/>
      <c r="Z331" s="6"/>
    </row>
    <row r="332" ht="15.75" customHeight="1">
      <c r="A332" s="4" t="s">
        <v>25</v>
      </c>
      <c r="B332" s="4">
        <v>9880.0</v>
      </c>
      <c r="H332" s="5"/>
      <c r="Z332" s="6"/>
    </row>
    <row r="333" ht="15.75" customHeight="1">
      <c r="A333" s="13">
        <v>102.1</v>
      </c>
      <c r="B333" s="4">
        <v>79.35</v>
      </c>
      <c r="H333" s="5"/>
      <c r="Z333" s="6"/>
    </row>
    <row r="334" ht="15.75" customHeight="1">
      <c r="A334" s="14" t="str">
        <f>$B$319</f>
        <v> $ 89.50 </v>
      </c>
      <c r="B334" s="14" t="str">
        <f>$A$319</f>
        <v> $ 80.00 </v>
      </c>
      <c r="C334">
        <v>200.0</v>
      </c>
      <c r="D334" t="s">
        <v>8</v>
      </c>
      <c r="H334" s="5"/>
      <c r="Z334" s="6"/>
    </row>
    <row r="335" ht="15.75" customHeight="1">
      <c r="A335" s="4" t="str">
        <f>(A334-A333)*C335</f>
        <v>-2520</v>
      </c>
      <c r="B335" s="4" t="str">
        <f>(B333-B334)*C334</f>
        <v>-130</v>
      </c>
      <c r="C335">
        <v>200.0</v>
      </c>
      <c r="D335" t="s">
        <v>9</v>
      </c>
      <c r="E335" s="14" t="str">
        <f>A335</f>
        <v>-$ 2,520.00 </v>
      </c>
      <c r="F335" s="4" t="str">
        <f>(B335+A335)</f>
        <v>-2650</v>
      </c>
      <c r="G335" t="str">
        <f>IF(F335&gt;0, "TRADE","H")</f>
        <v>H</v>
      </c>
      <c r="H335" s="5"/>
      <c r="Z335" s="6"/>
    </row>
    <row r="336" ht="15.75" customHeight="1">
      <c r="A336" t="s">
        <v>5</v>
      </c>
      <c r="B336" t="s">
        <v>6</v>
      </c>
      <c r="C336" s="8">
        <v>46238.0</v>
      </c>
      <c r="H336" s="5"/>
      <c r="Z336" s="6"/>
    </row>
    <row r="337" ht="15.75" customHeight="1">
      <c r="A337" s="4" t="s">
        <v>25</v>
      </c>
      <c r="B337" s="4">
        <v>9880.0</v>
      </c>
      <c r="H337" s="5"/>
      <c r="Z337" s="6"/>
    </row>
    <row r="338" ht="15.75" customHeight="1">
      <c r="A338" s="13">
        <v>109.8</v>
      </c>
      <c r="B338" s="4">
        <v>86.4</v>
      </c>
      <c r="H338" s="5"/>
      <c r="Z338" s="6"/>
    </row>
    <row r="339" ht="15.75" customHeight="1">
      <c r="A339" s="14" t="str">
        <f>$B$319</f>
        <v> $ 89.50 </v>
      </c>
      <c r="B339" s="14" t="str">
        <f>$A$319</f>
        <v> $ 80.00 </v>
      </c>
      <c r="C339">
        <v>200.0</v>
      </c>
      <c r="D339" t="s">
        <v>8</v>
      </c>
      <c r="H339" s="5"/>
      <c r="Z339" s="6"/>
    </row>
    <row r="340" ht="15.75" customHeight="1">
      <c r="A340" s="4" t="str">
        <f>(A339-A338)*C340</f>
        <v>-4060</v>
      </c>
      <c r="B340" s="4" t="str">
        <f>(B338-B339)*C339</f>
        <v>1280</v>
      </c>
      <c r="C340">
        <v>200.0</v>
      </c>
      <c r="D340" t="s">
        <v>9</v>
      </c>
      <c r="E340" s="14" t="str">
        <f>A340</f>
        <v>-$ 4,060.00 </v>
      </c>
      <c r="F340" s="4" t="str">
        <f>(B340+A340)</f>
        <v>-2780</v>
      </c>
      <c r="G340" t="str">
        <f>IF(F340&gt;0, "TRADE","H")</f>
        <v>H</v>
      </c>
      <c r="H340" s="5"/>
      <c r="Z340" s="6"/>
    </row>
    <row r="341" ht="15.75" customHeight="1">
      <c r="A341" t="s">
        <v>5</v>
      </c>
      <c r="B341" t="s">
        <v>6</v>
      </c>
      <c r="C341" s="8">
        <v>46240.0</v>
      </c>
      <c r="H341" s="5"/>
      <c r="Z341" s="6"/>
    </row>
    <row r="342" ht="15.75" customHeight="1">
      <c r="A342" s="4" t="s">
        <v>25</v>
      </c>
      <c r="B342" s="4">
        <v>9880.0</v>
      </c>
      <c r="H342" s="5"/>
      <c r="Z342" s="6"/>
    </row>
    <row r="343" ht="15.75" customHeight="1">
      <c r="A343" s="13">
        <v>108.9</v>
      </c>
      <c r="B343" s="4">
        <v>88.3</v>
      </c>
      <c r="H343" s="5"/>
      <c r="Z343" s="6"/>
    </row>
    <row r="344" ht="15.75" customHeight="1">
      <c r="A344" s="14" t="str">
        <f>$B$319</f>
        <v> $ 89.50 </v>
      </c>
      <c r="B344" s="14" t="str">
        <f>$A$319</f>
        <v> $ 80.00 </v>
      </c>
      <c r="C344">
        <v>200.0</v>
      </c>
      <c r="D344" t="s">
        <v>8</v>
      </c>
      <c r="H344" s="5"/>
      <c r="Z344" s="6"/>
    </row>
    <row r="345" ht="15.75" customHeight="1">
      <c r="A345" s="4" t="str">
        <f>(A344-A343)*C345</f>
        <v>-3880</v>
      </c>
      <c r="B345" s="4" t="str">
        <f>(B343-B344)*C344</f>
        <v>1660</v>
      </c>
      <c r="C345">
        <v>200.0</v>
      </c>
      <c r="D345" t="s">
        <v>9</v>
      </c>
      <c r="E345" s="14" t="str">
        <f>A345</f>
        <v>-$ 3,880.00 </v>
      </c>
      <c r="F345" s="4" t="str">
        <f>(B345+A345)</f>
        <v>-2220</v>
      </c>
      <c r="G345" t="str">
        <f>IF(F345&gt;0, "TRADE","H")</f>
        <v>H</v>
      </c>
      <c r="H345" s="5"/>
      <c r="Z345" s="6"/>
    </row>
    <row r="346" ht="15.75" customHeight="1">
      <c r="A346" t="s">
        <v>5</v>
      </c>
      <c r="B346" t="s">
        <v>6</v>
      </c>
      <c r="C346" s="8">
        <v>46245.0</v>
      </c>
      <c r="H346" s="5"/>
      <c r="Z346" s="6"/>
    </row>
    <row r="347" ht="15.75" customHeight="1">
      <c r="A347" s="4" t="s">
        <v>25</v>
      </c>
      <c r="B347" s="4">
        <v>9880.0</v>
      </c>
      <c r="H347" s="5"/>
      <c r="Z347" s="6"/>
    </row>
    <row r="348" ht="15.75" customHeight="1">
      <c r="A348" s="13">
        <v>105.5</v>
      </c>
      <c r="B348" s="4">
        <v>88.75</v>
      </c>
      <c r="H348" s="5"/>
      <c r="Z348" s="6"/>
    </row>
    <row r="349" ht="15.75" customHeight="1">
      <c r="A349" s="14" t="str">
        <f>$B$319</f>
        <v> $ 89.50 </v>
      </c>
      <c r="B349" s="14" t="str">
        <f>$A$319</f>
        <v> $ 80.00 </v>
      </c>
      <c r="C349">
        <v>200.0</v>
      </c>
      <c r="D349" t="s">
        <v>8</v>
      </c>
      <c r="H349" s="5"/>
      <c r="Z349" s="6"/>
    </row>
    <row r="350" ht="15.75" customHeight="1">
      <c r="A350" s="4" t="str">
        <f>(A349-A348)*C350</f>
        <v>-3200</v>
      </c>
      <c r="B350" s="4" t="str">
        <f>(B348-B349)*C349</f>
        <v>1750</v>
      </c>
      <c r="C350">
        <v>200.0</v>
      </c>
      <c r="D350" t="s">
        <v>9</v>
      </c>
      <c r="E350" s="14" t="str">
        <f>A350</f>
        <v>-$ 3,200.00 </v>
      </c>
      <c r="F350" s="4" t="str">
        <f>(B350+A350)</f>
        <v>-1450</v>
      </c>
      <c r="G350" t="str">
        <f>IF(F350&gt;0, "TRADE","H")</f>
        <v>H</v>
      </c>
      <c r="H350" s="5"/>
      <c r="Z350" s="6"/>
    </row>
    <row r="351" ht="15.75" customHeight="1">
      <c r="A351" t="s">
        <v>5</v>
      </c>
      <c r="B351" t="s">
        <v>6</v>
      </c>
      <c r="C351" s="8">
        <v>46245.0</v>
      </c>
      <c r="H351" s="5"/>
      <c r="Z351" s="6"/>
    </row>
    <row r="352" ht="15.75" customHeight="1">
      <c r="A352" s="4" t="s">
        <v>25</v>
      </c>
      <c r="B352" s="4">
        <v>9880.0</v>
      </c>
      <c r="H352" s="5"/>
      <c r="Z352" s="6"/>
    </row>
    <row r="353" ht="15.75" customHeight="1">
      <c r="A353" s="13">
        <v>105.0</v>
      </c>
      <c r="B353" s="4">
        <v>91.25</v>
      </c>
      <c r="H353" s="5"/>
      <c r="Z353" s="6"/>
    </row>
    <row r="354" ht="15.75" customHeight="1">
      <c r="A354" s="14" t="str">
        <f>$B$319</f>
        <v> $ 89.50 </v>
      </c>
      <c r="B354" s="14" t="str">
        <f>$A$319</f>
        <v> $ 80.00 </v>
      </c>
      <c r="C354">
        <v>200.0</v>
      </c>
      <c r="D354" t="s">
        <v>8</v>
      </c>
      <c r="H354" s="5"/>
      <c r="Z354" s="6"/>
    </row>
    <row r="355" ht="15.75" customHeight="1">
      <c r="A355" s="4" t="str">
        <f>(A354-A353)*C355</f>
        <v>-3100</v>
      </c>
      <c r="B355" s="4" t="str">
        <f>(B353-B354)*C354</f>
        <v>2250</v>
      </c>
      <c r="C355">
        <v>200.0</v>
      </c>
      <c r="D355" t="s">
        <v>9</v>
      </c>
      <c r="E355" s="14" t="str">
        <f>A355</f>
        <v>-$ 3,100.00 </v>
      </c>
      <c r="F355" s="4" t="str">
        <f>(B355+A355)</f>
        <v>-850</v>
      </c>
      <c r="G355" t="str">
        <f>IF(F355&gt;0, "TRADE","H")</f>
        <v>H</v>
      </c>
      <c r="H355" s="5"/>
      <c r="Z355" s="6"/>
    </row>
    <row r="356" ht="15.75" customHeight="1">
      <c r="A356" t="s">
        <v>5</v>
      </c>
      <c r="B356" t="s">
        <v>6</v>
      </c>
      <c r="C356" s="8">
        <v>46281.0</v>
      </c>
      <c r="H356" s="5"/>
      <c r="Z356" s="6"/>
    </row>
    <row r="357" ht="15.75" customHeight="1">
      <c r="A357" s="4" t="s">
        <v>25</v>
      </c>
      <c r="B357" s="4">
        <v>9880.0</v>
      </c>
      <c r="H357" s="5"/>
      <c r="Z357" s="6"/>
    </row>
    <row r="358" ht="15.75" customHeight="1">
      <c r="A358" s="13">
        <v>88.3</v>
      </c>
      <c r="B358" s="4">
        <v>77.7</v>
      </c>
      <c r="H358" s="5"/>
      <c r="Z358" s="6"/>
    </row>
    <row r="359" ht="15.75" customHeight="1">
      <c r="A359" s="14" t="str">
        <f>$B$319</f>
        <v> $ 89.50 </v>
      </c>
      <c r="B359" s="14" t="str">
        <f>$A$319</f>
        <v> $ 80.00 </v>
      </c>
      <c r="C359">
        <v>200.0</v>
      </c>
      <c r="D359" t="s">
        <v>8</v>
      </c>
      <c r="H359" s="5"/>
      <c r="Z359" s="6"/>
    </row>
    <row r="360" ht="15.75" customHeight="1">
      <c r="A360" s="4" t="str">
        <f>(A359-A358)*C360</f>
        <v>240</v>
      </c>
      <c r="B360" s="4" t="str">
        <f>(B358-B359)*C359</f>
        <v>-460</v>
      </c>
      <c r="C360">
        <v>200.0</v>
      </c>
      <c r="D360" t="s">
        <v>9</v>
      </c>
      <c r="E360" s="14" t="str">
        <f>A360</f>
        <v> $ 240.00 </v>
      </c>
      <c r="F360" s="4" t="str">
        <f>(B360+A360)</f>
        <v>-220</v>
      </c>
      <c r="G360" t="str">
        <f>IF(F360&gt;0, "TRADE","H")</f>
        <v>H</v>
      </c>
      <c r="H360" s="5"/>
      <c r="Z360" s="6"/>
    </row>
    <row r="361" ht="15.75" customHeight="1">
      <c r="A361" t="s">
        <v>5</v>
      </c>
      <c r="B361" t="s">
        <v>6</v>
      </c>
      <c r="C361" s="8">
        <v>46287.0</v>
      </c>
      <c r="H361" s="5"/>
      <c r="Z361" s="6"/>
    </row>
    <row r="362" ht="15.75" customHeight="1">
      <c r="A362" s="4">
        <v>9880.0</v>
      </c>
      <c r="B362" s="4" t="s">
        <v>25</v>
      </c>
      <c r="H362" s="5"/>
      <c r="Z362" s="6"/>
    </row>
    <row r="363" ht="15.75" customHeight="1">
      <c r="A363" s="13">
        <v>80.65</v>
      </c>
      <c r="B363" s="4">
        <v>91.4</v>
      </c>
      <c r="H363" s="5"/>
      <c r="Z363" s="6"/>
    </row>
    <row r="364" ht="15.75" customHeight="1">
      <c r="A364" s="14" t="str">
        <f>$A$319</f>
        <v> $ 80.00 </v>
      </c>
      <c r="B364" s="14" t="str">
        <f>$B$319</f>
        <v> $ 89.50 </v>
      </c>
      <c r="C364">
        <v>200.0</v>
      </c>
      <c r="D364" t="s">
        <v>8</v>
      </c>
      <c r="H364" s="5"/>
      <c r="Z364" s="6"/>
    </row>
    <row r="365" ht="15.75" customHeight="1">
      <c r="A365" s="4" t="str">
        <f>(A364-A363)*C365</f>
        <v>-130</v>
      </c>
      <c r="B365" s="4" t="str">
        <f>(B363-B364)*C364</f>
        <v>380</v>
      </c>
      <c r="C365">
        <v>200.0</v>
      </c>
      <c r="D365" t="s">
        <v>9</v>
      </c>
      <c r="E365" s="14" t="str">
        <f>A365</f>
        <v>-$ 130.00 </v>
      </c>
      <c r="F365" s="4" t="str">
        <f>(B365+A365)</f>
        <v>250</v>
      </c>
      <c r="G365" t="str">
        <f>IF(F365&gt;0, "TRADE","H")</f>
        <v>TRADE</v>
      </c>
      <c r="H365" s="5"/>
      <c r="Z365" s="6"/>
    </row>
    <row r="366" ht="15.75" customHeight="1">
      <c r="A366" t="s">
        <v>5</v>
      </c>
      <c r="B366" t="s">
        <v>6</v>
      </c>
      <c r="C366" s="8">
        <v>46274.0</v>
      </c>
      <c r="H366" s="5"/>
      <c r="Z366" s="6"/>
    </row>
    <row r="367" ht="15.75" customHeight="1">
      <c r="A367" s="4">
        <v>9880.0</v>
      </c>
      <c r="B367" s="4" t="s">
        <v>25</v>
      </c>
      <c r="H367" s="5"/>
      <c r="Z367" s="6"/>
    </row>
    <row r="368" ht="15.75" customHeight="1">
      <c r="A368" s="13">
        <v>84.3</v>
      </c>
      <c r="B368" s="4">
        <v>92.1</v>
      </c>
      <c r="H368" s="5"/>
      <c r="Z368" s="6"/>
    </row>
    <row r="369" ht="15.75" customHeight="1">
      <c r="A369" s="14" t="str">
        <f>$A$319</f>
        <v> $ 80.00 </v>
      </c>
      <c r="B369" s="14" t="str">
        <f>$B$319</f>
        <v> $ 89.50 </v>
      </c>
      <c r="C369">
        <v>200.0</v>
      </c>
      <c r="D369" t="s">
        <v>8</v>
      </c>
      <c r="H369" s="5"/>
      <c r="Z369" s="6"/>
    </row>
    <row r="370" ht="15.75" customHeight="1">
      <c r="A370" s="4" t="str">
        <f>(A369-A368)*C370</f>
        <v>-860</v>
      </c>
      <c r="B370" s="4" t="str">
        <f>(B368-B369)*C369</f>
        <v>520</v>
      </c>
      <c r="C370">
        <v>200.0</v>
      </c>
      <c r="D370" t="s">
        <v>9</v>
      </c>
      <c r="E370" s="14" t="str">
        <f>A370</f>
        <v>-$ 860.00 </v>
      </c>
      <c r="F370" s="4" t="str">
        <f>(B370+A370)</f>
        <v>-340</v>
      </c>
      <c r="G370" t="str">
        <f>IF(F370&gt;0, "TRADE","H")</f>
        <v>H</v>
      </c>
      <c r="H370" s="5"/>
      <c r="Z370" s="6"/>
    </row>
    <row r="371" ht="15.75" customHeight="1">
      <c r="A371" t="s">
        <v>5</v>
      </c>
      <c r="B371" t="s">
        <v>6</v>
      </c>
      <c r="C371" s="8">
        <v>46273.0</v>
      </c>
      <c r="H371" s="5"/>
      <c r="Z371" s="6"/>
    </row>
    <row r="372" ht="15.75" customHeight="1">
      <c r="A372" s="4">
        <v>9880.0</v>
      </c>
      <c r="B372" s="4" t="s">
        <v>25</v>
      </c>
      <c r="H372" s="5"/>
      <c r="Z372" s="6"/>
    </row>
    <row r="373" ht="15.75" customHeight="1">
      <c r="A373" s="13">
        <v>84.85</v>
      </c>
      <c r="B373" s="4">
        <v>90.0</v>
      </c>
      <c r="H373" s="5"/>
      <c r="Z373" s="6"/>
    </row>
    <row r="374" ht="15.75" customHeight="1">
      <c r="A374" s="14" t="str">
        <f>$A$319</f>
        <v> $ 80.00 </v>
      </c>
      <c r="B374" s="14" t="str">
        <f>$B$319</f>
        <v> $ 89.50 </v>
      </c>
      <c r="C374">
        <v>200.0</v>
      </c>
      <c r="D374" t="s">
        <v>8</v>
      </c>
      <c r="H374" s="5"/>
      <c r="Z374" s="6"/>
    </row>
    <row r="375" ht="15.75" customHeight="1">
      <c r="A375" s="4" t="str">
        <f>(A374-A373)*C375</f>
        <v>-970</v>
      </c>
      <c r="B375" s="4" t="str">
        <f>(B373-B374)*C374</f>
        <v>100</v>
      </c>
      <c r="C375">
        <v>200.0</v>
      </c>
      <c r="D375" t="s">
        <v>9</v>
      </c>
      <c r="E375" s="14" t="str">
        <f>A375</f>
        <v>-$ 970.00 </v>
      </c>
      <c r="F375" s="4" t="str">
        <f>(B375+A375)</f>
        <v>-870</v>
      </c>
      <c r="G375" t="str">
        <f>IF(F375&gt;0, "TRADE","H")</f>
        <v>H</v>
      </c>
      <c r="H375" s="5"/>
      <c r="Z375" s="6"/>
    </row>
    <row r="376" ht="15.75" customHeight="1">
      <c r="A376" t="s">
        <v>5</v>
      </c>
      <c r="B376" t="s">
        <v>6</v>
      </c>
      <c r="C376" s="8">
        <v>46253.0</v>
      </c>
      <c r="H376" s="5"/>
      <c r="Z376" s="6"/>
    </row>
    <row r="377" ht="15.75" customHeight="1">
      <c r="A377" s="4">
        <v>9880.0</v>
      </c>
      <c r="B377" s="4" t="s">
        <v>25</v>
      </c>
      <c r="H377" s="5"/>
      <c r="Z377" s="6"/>
    </row>
    <row r="378" ht="15.75" customHeight="1">
      <c r="A378" s="13">
        <v>86.75</v>
      </c>
      <c r="B378" s="4">
        <v>87.85</v>
      </c>
      <c r="H378" s="5"/>
      <c r="Z378" s="6"/>
    </row>
    <row r="379" ht="15.75" customHeight="1">
      <c r="A379" s="14" t="str">
        <f>$A$319</f>
        <v> $ 80.00 </v>
      </c>
      <c r="B379" s="14" t="str">
        <f>$B$319</f>
        <v> $ 89.50 </v>
      </c>
      <c r="C379">
        <v>200.0</v>
      </c>
      <c r="D379" t="s">
        <v>8</v>
      </c>
      <c r="H379" s="5"/>
      <c r="Z379" s="6"/>
    </row>
    <row r="380" ht="15.75" customHeight="1">
      <c r="A380" s="4" t="str">
        <f>(A379-A378)*C380</f>
        <v>-1350</v>
      </c>
      <c r="B380" s="4" t="str">
        <f>(B378-B379)*C379</f>
        <v>-330</v>
      </c>
      <c r="C380">
        <v>200.0</v>
      </c>
      <c r="D380" t="s">
        <v>9</v>
      </c>
      <c r="E380" s="14" t="str">
        <f>A380</f>
        <v>-$ 1,350.00 </v>
      </c>
      <c r="F380" s="4" t="str">
        <f>(B380+A380)</f>
        <v>-1680</v>
      </c>
      <c r="G380" t="str">
        <f>IF(F380&gt;0, "TRADE","H")</f>
        <v>H</v>
      </c>
      <c r="H380" s="5"/>
      <c r="Z380" s="6"/>
    </row>
    <row r="381" ht="15.75" customHeight="1">
      <c r="A381" t="s">
        <v>5</v>
      </c>
      <c r="B381" t="s">
        <v>6</v>
      </c>
      <c r="C381" s="8">
        <v>46077.0</v>
      </c>
      <c r="H381" s="5"/>
      <c r="Z381" s="6"/>
    </row>
    <row r="382" ht="15.75" customHeight="1">
      <c r="A382" s="4">
        <v>9880.0</v>
      </c>
      <c r="B382" s="4" t="s">
        <v>25</v>
      </c>
      <c r="H382" s="5"/>
      <c r="Z382" s="6"/>
    </row>
    <row r="383" ht="15.75" customHeight="1">
      <c r="A383" s="13">
        <v>129.4</v>
      </c>
      <c r="B383" s="4">
        <v>129.5</v>
      </c>
      <c r="H383" s="5"/>
      <c r="Z383" s="6"/>
    </row>
    <row r="384" ht="15.75" customHeight="1">
      <c r="A384" s="14" t="str">
        <f>$A$319</f>
        <v> $ 80.00 </v>
      </c>
      <c r="B384" s="14" t="str">
        <f>$B$319</f>
        <v> $ 89.50 </v>
      </c>
      <c r="C384" s="27">
        <v>300.0</v>
      </c>
      <c r="D384" t="s">
        <v>8</v>
      </c>
      <c r="H384" s="5"/>
      <c r="Z384" s="6"/>
    </row>
    <row r="385" ht="15.75" customHeight="1">
      <c r="A385" s="4" t="str">
        <f>(A384-A383)*C385</f>
        <v>-14820</v>
      </c>
      <c r="B385" s="4" t="str">
        <f>(B383-B384)*C384</f>
        <v>12000</v>
      </c>
      <c r="C385" s="27">
        <v>300.0</v>
      </c>
      <c r="D385" t="s">
        <v>9</v>
      </c>
      <c r="E385" s="14" t="str">
        <f>A385</f>
        <v>-$ 14,820.00 </v>
      </c>
      <c r="F385" s="4" t="str">
        <f>(B385+A385)</f>
        <v>-2820</v>
      </c>
      <c r="G385" t="str">
        <f>IF(F385&gt;0, "TRADE","H")</f>
        <v>H</v>
      </c>
      <c r="H385" s="5"/>
      <c r="Z385" s="6"/>
    </row>
    <row r="386" ht="15.75" customHeight="1">
      <c r="A386" t="s">
        <v>5</v>
      </c>
      <c r="B386" t="s">
        <v>6</v>
      </c>
      <c r="C386" s="8">
        <v>46076.0</v>
      </c>
      <c r="H386" s="5"/>
      <c r="Z386" s="6"/>
    </row>
    <row r="387" ht="15.75" customHeight="1">
      <c r="A387" s="4">
        <v>9880.0</v>
      </c>
      <c r="B387" s="4" t="s">
        <v>25</v>
      </c>
      <c r="H387" s="5"/>
      <c r="Z387" s="6"/>
    </row>
    <row r="388" ht="15.75" customHeight="1">
      <c r="A388" s="13">
        <v>143.1</v>
      </c>
      <c r="B388" s="4">
        <v>133.5</v>
      </c>
      <c r="H388" s="5"/>
      <c r="Z388" s="6"/>
    </row>
    <row r="389" ht="15.75" customHeight="1">
      <c r="A389" s="14" t="str">
        <f>$A$319</f>
        <v> $ 80.00 </v>
      </c>
      <c r="B389" s="14" t="str">
        <f>$B$319</f>
        <v> $ 89.50 </v>
      </c>
      <c r="C389">
        <v>200.0</v>
      </c>
      <c r="D389" t="s">
        <v>8</v>
      </c>
      <c r="H389" s="5"/>
      <c r="Z389" s="6"/>
    </row>
    <row r="390" ht="15.75" customHeight="1">
      <c r="A390" s="4" t="str">
        <f>(A389-A388)*C390</f>
        <v>-12620</v>
      </c>
      <c r="B390" s="4" t="str">
        <f>(B388-B389)*C389</f>
        <v>8800</v>
      </c>
      <c r="C390">
        <v>200.0</v>
      </c>
      <c r="D390" t="s">
        <v>9</v>
      </c>
      <c r="E390" s="14" t="str">
        <f>A390</f>
        <v>-$ 12,620.00 </v>
      </c>
      <c r="F390" s="4" t="str">
        <f>(B390+A390)</f>
        <v>-3820</v>
      </c>
      <c r="G390" t="str">
        <f>IF(F390&gt;0, "TRADE","H")</f>
        <v>H</v>
      </c>
      <c r="H390" s="5"/>
      <c r="Z390" s="6"/>
    </row>
    <row r="391" ht="15.75" customHeight="1">
      <c r="A391" t="s">
        <v>5</v>
      </c>
      <c r="B391" t="s">
        <v>6</v>
      </c>
      <c r="C391" s="8">
        <v>46076.0</v>
      </c>
      <c r="H391" s="5"/>
      <c r="Z391" s="6"/>
    </row>
    <row r="392" ht="15.75" customHeight="1">
      <c r="A392" s="4">
        <v>9880.0</v>
      </c>
      <c r="B392" s="4" t="s">
        <v>25</v>
      </c>
      <c r="H392" s="5"/>
      <c r="Z392" s="6"/>
    </row>
    <row r="393" ht="15.75" customHeight="1">
      <c r="A393" s="13">
        <v>143.8</v>
      </c>
      <c r="B393" s="4">
        <v>132.8</v>
      </c>
      <c r="H393" s="5"/>
      <c r="Z393" s="6"/>
    </row>
    <row r="394" ht="15.75" customHeight="1">
      <c r="A394" s="14" t="str">
        <f>$A$319</f>
        <v> $ 80.00 </v>
      </c>
      <c r="B394" s="14" t="str">
        <f>$B$319</f>
        <v> $ 89.50 </v>
      </c>
      <c r="C394">
        <v>200.0</v>
      </c>
      <c r="D394" t="s">
        <v>8</v>
      </c>
      <c r="H394" s="5"/>
      <c r="Z394" s="6"/>
    </row>
    <row r="395" ht="15.75" customHeight="1">
      <c r="A395" s="4" t="str">
        <f>(A394-A393)*C395</f>
        <v>-12760</v>
      </c>
      <c r="B395" s="4" t="str">
        <f>(B393-B394)*C394</f>
        <v>8660</v>
      </c>
      <c r="C395">
        <v>200.0</v>
      </c>
      <c r="D395" t="s">
        <v>9</v>
      </c>
      <c r="E395" s="14" t="str">
        <f>A395</f>
        <v>-$ 12,760.00 </v>
      </c>
      <c r="F395" s="4" t="str">
        <f>(B395+A395)</f>
        <v>-4100</v>
      </c>
      <c r="G395" t="str">
        <f>IF(F395&gt;0, "TRADE","H")</f>
        <v>H</v>
      </c>
      <c r="H395" s="5"/>
      <c r="Z395" s="6"/>
    </row>
    <row r="396" ht="15.75" customHeight="1">
      <c r="A396" t="s">
        <v>5</v>
      </c>
      <c r="B396" t="s">
        <v>6</v>
      </c>
      <c r="C396" s="8">
        <v>46073.0</v>
      </c>
      <c r="H396" s="5"/>
      <c r="Z396" s="6"/>
    </row>
    <row r="397" ht="15.75" customHeight="1">
      <c r="A397" s="4">
        <v>9880.0</v>
      </c>
      <c r="B397" s="4" t="s">
        <v>25</v>
      </c>
      <c r="H397" s="5"/>
      <c r="Z397" s="6"/>
    </row>
    <row r="398" ht="15.75" customHeight="1">
      <c r="A398" s="13">
        <v>144.6</v>
      </c>
      <c r="B398" s="4">
        <v>130.2</v>
      </c>
      <c r="H398" s="5"/>
      <c r="Z398" s="6"/>
    </row>
    <row r="399" ht="15.75" customHeight="1">
      <c r="A399" s="14" t="str">
        <f>$A$319</f>
        <v> $ 80.00 </v>
      </c>
      <c r="B399" s="14" t="str">
        <f>$B$319</f>
        <v> $ 89.50 </v>
      </c>
      <c r="C399">
        <v>200.0</v>
      </c>
      <c r="D399" t="s">
        <v>8</v>
      </c>
      <c r="H399" s="5"/>
      <c r="Z399" s="6"/>
    </row>
    <row r="400" ht="15.75" customHeight="1">
      <c r="A400" s="4" t="str">
        <f>(A399-A398)*C400</f>
        <v>-12920</v>
      </c>
      <c r="B400" s="4" t="str">
        <f>(B398-B399)*C399</f>
        <v>8140</v>
      </c>
      <c r="C400">
        <v>200.0</v>
      </c>
      <c r="D400" t="s">
        <v>9</v>
      </c>
      <c r="E400" s="14" t="str">
        <f>A400</f>
        <v>-$ 12,920.00 </v>
      </c>
      <c r="F400" s="4" t="str">
        <f>(B400+A400)</f>
        <v>-4780</v>
      </c>
      <c r="G400" t="str">
        <f>IF(F400&gt;0, "TRADE","H")</f>
        <v>H</v>
      </c>
      <c r="H400" s="5"/>
      <c r="Z400" s="6"/>
    </row>
    <row r="401" ht="15.75" customHeight="1">
      <c r="A401" t="s">
        <v>5</v>
      </c>
      <c r="B401" t="s">
        <v>6</v>
      </c>
      <c r="C401" s="8">
        <v>46073.0</v>
      </c>
      <c r="H401" s="5"/>
      <c r="Z401" s="6"/>
    </row>
    <row r="402" ht="15.75" customHeight="1">
      <c r="A402" s="4">
        <v>9880.0</v>
      </c>
      <c r="B402" s="4" t="s">
        <v>25</v>
      </c>
      <c r="H402" s="5"/>
      <c r="Z402" s="6"/>
    </row>
    <row r="403" ht="15.75" customHeight="1">
      <c r="A403" s="13">
        <v>146.6</v>
      </c>
      <c r="B403" s="4">
        <v>129.5</v>
      </c>
      <c r="H403" s="5"/>
      <c r="Z403" s="6"/>
    </row>
    <row r="404" ht="15.75" customHeight="1">
      <c r="A404" s="14" t="str">
        <f>$A$319</f>
        <v> $ 80.00 </v>
      </c>
      <c r="B404" s="14" t="str">
        <f>$B$319</f>
        <v> $ 89.50 </v>
      </c>
      <c r="C404">
        <v>200.0</v>
      </c>
      <c r="D404" t="s">
        <v>8</v>
      </c>
      <c r="H404" s="5"/>
      <c r="Z404" s="6"/>
    </row>
    <row r="405" ht="15.75" customHeight="1">
      <c r="A405" s="4" t="str">
        <f>(A404-A403)*C405</f>
        <v>-13320</v>
      </c>
      <c r="B405" s="4" t="str">
        <f>(B403-B404)*C404</f>
        <v>8000</v>
      </c>
      <c r="C405">
        <v>200.0</v>
      </c>
      <c r="D405" t="s">
        <v>9</v>
      </c>
      <c r="E405" s="14" t="str">
        <f>A405</f>
        <v>-$ 13,320.00 </v>
      </c>
      <c r="F405" s="4" t="str">
        <f>(B405+A405)</f>
        <v>-5320</v>
      </c>
      <c r="G405" t="str">
        <f>IF(F405&gt;0, "TRADE","H")</f>
        <v>H</v>
      </c>
      <c r="H405" s="5"/>
      <c r="Z405" s="6"/>
    </row>
    <row r="406" ht="15.75" customHeight="1">
      <c r="A406" t="s">
        <v>5</v>
      </c>
      <c r="B406" t="s">
        <v>6</v>
      </c>
      <c r="C406" s="8">
        <v>45713.0</v>
      </c>
      <c r="H406" s="5" t="str">
        <f t="shared" ref="H406:H407" si="16">(I406-K406)/K406-$D$3</f>
        <v>-48.75%</v>
      </c>
      <c r="I406" s="9">
        <v>0.83</v>
      </c>
      <c r="J406" s="10">
        <v>2587.0</v>
      </c>
      <c r="K406">
        <v>1.72</v>
      </c>
      <c r="O406" s="6"/>
    </row>
    <row r="407" ht="15.75" customHeight="1">
      <c r="A407" s="4">
        <v>2522.0</v>
      </c>
      <c r="B407" s="4"/>
      <c r="H407" s="5" t="str">
        <f t="shared" si="16"/>
        <v>9.08%</v>
      </c>
      <c r="I407" s="9">
        <v>5.58</v>
      </c>
      <c r="J407" s="12">
        <v>2522.0</v>
      </c>
      <c r="K407">
        <v>5.26</v>
      </c>
      <c r="M407" s="6"/>
    </row>
    <row r="408" ht="15.75" customHeight="1">
      <c r="A408" s="13">
        <v>43.0</v>
      </c>
      <c r="B408" s="4"/>
      <c r="H408" s="5" t="str">
        <f>H406-H407</f>
        <v>-57.83%</v>
      </c>
      <c r="Q408" s="6"/>
    </row>
    <row r="409" ht="15.75" customHeight="1">
      <c r="A409" s="15" t="str">
        <f>I407</f>
        <v> $ 5.58 </v>
      </c>
      <c r="B409" s="15"/>
      <c r="C409" s="17"/>
      <c r="H409" s="5"/>
      <c r="Y409" s="6"/>
    </row>
    <row r="410" ht="15.75" customHeight="1">
      <c r="A410" s="4" t="str">
        <f>(A409-A408)*C410</f>
        <v>-18710</v>
      </c>
      <c r="B410" s="14"/>
      <c r="C410" s="17">
        <v>500.0</v>
      </c>
      <c r="E410" s="14" t="str">
        <f>A410</f>
        <v>-$ 18,710.00 </v>
      </c>
      <c r="F410" s="14" t="str">
        <f>(B410+A410)</f>
        <v>-$ 18,710.00 </v>
      </c>
      <c r="G410" t="str">
        <f>IF(F410&gt;0, "TRADE","H")</f>
        <v>H</v>
      </c>
      <c r="H410" s="5"/>
      <c r="Y410" s="6"/>
    </row>
    <row r="411" ht="15.75" customHeight="1">
      <c r="A411" t="s">
        <v>5</v>
      </c>
      <c r="B411" t="s">
        <v>6</v>
      </c>
      <c r="C411" s="8">
        <v>45996.0</v>
      </c>
      <c r="K411" s="6"/>
    </row>
    <row r="412" ht="15.75" customHeight="1">
      <c r="A412" s="4">
        <v>2522.0</v>
      </c>
      <c r="B412" s="4">
        <v>2587.0</v>
      </c>
      <c r="I412" s="6"/>
    </row>
    <row r="413" ht="15.75" customHeight="1">
      <c r="A413" s="13">
        <v>10.65</v>
      </c>
      <c r="B413" s="4">
        <v>4.93</v>
      </c>
      <c r="M413" s="6"/>
    </row>
    <row r="414" ht="15.75" customHeight="1">
      <c r="A414" s="14" t="str">
        <f>$A$514</f>
        <v> $ 5.58 </v>
      </c>
      <c r="B414" s="14" t="str">
        <f>$B$514</f>
        <v> $ 0.83 </v>
      </c>
      <c r="C414" s="17">
        <v>500.0</v>
      </c>
      <c r="H414" s="5"/>
      <c r="Y414" s="6"/>
    </row>
    <row r="415" ht="15.75" customHeight="1">
      <c r="A415" s="4" t="str">
        <f>(A414-A413)*C415</f>
        <v>-2535</v>
      </c>
      <c r="B415" s="14" t="str">
        <f>C414*(B413-B414)</f>
        <v> $ 2,050.00 </v>
      </c>
      <c r="C415" s="17">
        <v>500.0</v>
      </c>
      <c r="E415" s="14" t="str">
        <f>A415</f>
        <v>-$ 2,535.00 </v>
      </c>
      <c r="F415" s="14" t="str">
        <f>(B415+A415)</f>
        <v>-$ 485.00 </v>
      </c>
      <c r="G415" t="str">
        <f>IF(F415&gt;0, "TRADE","H")</f>
        <v>H</v>
      </c>
      <c r="H415" s="5"/>
      <c r="Y415" s="6"/>
    </row>
    <row r="416" ht="15.75" customHeight="1">
      <c r="A416" t="s">
        <v>5</v>
      </c>
      <c r="B416" t="s">
        <v>6</v>
      </c>
      <c r="C416" s="8">
        <v>46286.0</v>
      </c>
      <c r="K416" s="6"/>
    </row>
    <row r="417" ht="15.75" customHeight="1">
      <c r="A417" s="4">
        <v>2587.0</v>
      </c>
      <c r="B417" s="4">
        <v>2522.0</v>
      </c>
      <c r="I417" s="6"/>
    </row>
    <row r="418" ht="15.75" customHeight="1">
      <c r="A418" s="13">
        <v>0.83</v>
      </c>
      <c r="B418" s="4">
        <v>5.58</v>
      </c>
      <c r="M418" s="6"/>
    </row>
    <row r="419" ht="15.75" customHeight="1">
      <c r="A419" s="14" t="str">
        <f>$B$514</f>
        <v> $ 0.83 </v>
      </c>
      <c r="B419" s="14" t="str">
        <f>$A$514</f>
        <v> $ 5.58 </v>
      </c>
      <c r="C419" s="17">
        <v>500.0</v>
      </c>
      <c r="H419" s="5"/>
      <c r="Y419" s="6"/>
    </row>
    <row r="420" ht="15.75" customHeight="1">
      <c r="A420" s="4" t="str">
        <f>(A419-A418)*C420</f>
        <v>0</v>
      </c>
      <c r="B420" s="14" t="str">
        <f>C419*(B418-B419)</f>
        <v> $ -   </v>
      </c>
      <c r="C420" s="17">
        <v>500.0</v>
      </c>
      <c r="E420" s="14" t="str">
        <f>A420</f>
        <v> $ -   </v>
      </c>
      <c r="F420" s="14" t="str">
        <f>(B420+A420)</f>
        <v> $ -   </v>
      </c>
      <c r="G420" t="str">
        <f>IF(F420&gt;0, "TRADE","H")</f>
        <v>H</v>
      </c>
      <c r="H420" s="5"/>
      <c r="Y420" s="6"/>
    </row>
    <row r="421" ht="15.75" customHeight="1">
      <c r="A421" t="s">
        <v>5</v>
      </c>
      <c r="B421" t="s">
        <v>6</v>
      </c>
      <c r="C421" s="8">
        <v>46282.0</v>
      </c>
      <c r="K421" s="6"/>
    </row>
    <row r="422" ht="15.75" customHeight="1">
      <c r="A422" s="4">
        <v>2587.0</v>
      </c>
      <c r="B422" s="4">
        <v>2522.0</v>
      </c>
      <c r="I422" s="6"/>
    </row>
    <row r="423" ht="15.75" customHeight="1">
      <c r="A423" s="13">
        <v>0.855</v>
      </c>
      <c r="B423" s="4">
        <v>5.16</v>
      </c>
      <c r="M423" s="6"/>
    </row>
    <row r="424" ht="15.75" customHeight="1">
      <c r="A424" s="14" t="str">
        <f>$B$514</f>
        <v> $ 0.83 </v>
      </c>
      <c r="B424" s="14" t="str">
        <f>$A$514</f>
        <v> $ 5.58 </v>
      </c>
      <c r="C424" s="17">
        <v>500.0</v>
      </c>
      <c r="H424" s="5"/>
      <c r="Y424" s="6"/>
    </row>
    <row r="425" ht="15.75" customHeight="1">
      <c r="A425" s="4" t="str">
        <f>(A424-A423)*C425</f>
        <v>-12.5</v>
      </c>
      <c r="B425" s="14" t="str">
        <f>C424*(B423-B424)</f>
        <v>-$ 210.00 </v>
      </c>
      <c r="C425" s="17">
        <v>500.0</v>
      </c>
      <c r="E425" s="14" t="str">
        <f>A425</f>
        <v>-$ 12.50 </v>
      </c>
      <c r="F425" s="14" t="str">
        <f>(B425+A425)</f>
        <v>-$ 222.50 </v>
      </c>
      <c r="G425" t="str">
        <f>IF(F425&gt;0, "TRADE","H")</f>
        <v>H</v>
      </c>
      <c r="H425" s="5"/>
      <c r="Y425" s="6"/>
    </row>
    <row r="426" ht="15.75" customHeight="1">
      <c r="A426" t="s">
        <v>5</v>
      </c>
      <c r="B426" t="s">
        <v>6</v>
      </c>
      <c r="C426" s="8">
        <v>46274.0</v>
      </c>
      <c r="K426" s="6"/>
    </row>
    <row r="427" ht="15.75" customHeight="1">
      <c r="A427" s="4">
        <v>2587.0</v>
      </c>
      <c r="B427" s="4">
        <v>2522.0</v>
      </c>
      <c r="I427" s="6"/>
    </row>
    <row r="428" ht="15.75" customHeight="1">
      <c r="A428" s="13">
        <v>1.04</v>
      </c>
      <c r="B428" s="4">
        <v>5.205</v>
      </c>
      <c r="M428" s="6"/>
    </row>
    <row r="429" ht="15.75" customHeight="1">
      <c r="A429" s="14" t="str">
        <f>$B$514</f>
        <v> $ 0.83 </v>
      </c>
      <c r="B429" s="14" t="str">
        <f>$A$514</f>
        <v> $ 5.58 </v>
      </c>
      <c r="C429" s="17">
        <v>500.0</v>
      </c>
      <c r="H429" s="5"/>
      <c r="Y429" s="6"/>
    </row>
    <row r="430" ht="15.75" customHeight="1">
      <c r="A430" s="4" t="str">
        <f>(A429-A428)*C430</f>
        <v>-105</v>
      </c>
      <c r="B430" s="14" t="str">
        <f>C429*(B428-B429)</f>
        <v>-$ 187.50 </v>
      </c>
      <c r="C430" s="17">
        <v>500.0</v>
      </c>
      <c r="E430" s="14" t="str">
        <f>A430</f>
        <v>-$ 105.00 </v>
      </c>
      <c r="F430" s="14" t="str">
        <f>(B430+A430)</f>
        <v>-$ 292.50 </v>
      </c>
      <c r="G430" t="str">
        <f>IF(F430&gt;0, "TRADE","H")</f>
        <v>H</v>
      </c>
      <c r="H430" s="5"/>
      <c r="Y430" s="6"/>
    </row>
    <row r="431" ht="15.75" customHeight="1">
      <c r="A431" t="s">
        <v>5</v>
      </c>
      <c r="B431" t="s">
        <v>6</v>
      </c>
      <c r="C431" s="8">
        <v>46274.0</v>
      </c>
      <c r="K431" s="6"/>
    </row>
    <row r="432" ht="15.75" customHeight="1">
      <c r="A432" s="4">
        <v>2587.0</v>
      </c>
      <c r="B432" s="4">
        <v>2522.0</v>
      </c>
      <c r="I432" s="6"/>
    </row>
    <row r="433" ht="15.75" customHeight="1">
      <c r="A433" s="13">
        <v>1.065</v>
      </c>
      <c r="B433" s="4">
        <v>5.015</v>
      </c>
      <c r="M433" s="6"/>
    </row>
    <row r="434" ht="15.75" customHeight="1">
      <c r="A434" s="14" t="str">
        <f>$B$514</f>
        <v> $ 0.83 </v>
      </c>
      <c r="B434" s="14" t="str">
        <f>$A$514</f>
        <v> $ 5.58 </v>
      </c>
      <c r="C434" s="17">
        <v>500.0</v>
      </c>
      <c r="H434" s="5"/>
      <c r="Y434" s="6"/>
    </row>
    <row r="435" ht="15.75" customHeight="1">
      <c r="A435" s="4" t="str">
        <f>(A434-A433)*C435</f>
        <v>-117.5</v>
      </c>
      <c r="B435" s="14" t="str">
        <f>C434*(B433-B434)</f>
        <v>-$ 282.50 </v>
      </c>
      <c r="C435" s="17">
        <v>500.0</v>
      </c>
      <c r="E435" s="14" t="str">
        <f>A435</f>
        <v>-$ 117.50 </v>
      </c>
      <c r="F435" s="14" t="str">
        <f>(B435+A435)</f>
        <v>-$ 400.00 </v>
      </c>
      <c r="G435" t="str">
        <f>IF(F435&gt;0, "TRADE","H")</f>
        <v>H</v>
      </c>
      <c r="H435" s="5"/>
      <c r="Y435" s="6"/>
    </row>
    <row r="436" ht="15.75" customHeight="1">
      <c r="A436" t="s">
        <v>5</v>
      </c>
      <c r="B436" t="s">
        <v>6</v>
      </c>
      <c r="C436" s="8">
        <v>46261.0</v>
      </c>
      <c r="K436" s="6"/>
    </row>
    <row r="437" ht="15.75" customHeight="1">
      <c r="A437" s="4">
        <v>2587.0</v>
      </c>
      <c r="B437" s="4">
        <v>2522.0</v>
      </c>
      <c r="I437" s="6"/>
    </row>
    <row r="438" ht="15.75" customHeight="1">
      <c r="A438" s="13">
        <v>1.65</v>
      </c>
      <c r="B438" s="4">
        <v>5.185</v>
      </c>
      <c r="M438" s="6"/>
    </row>
    <row r="439" ht="15.75" customHeight="1">
      <c r="A439" s="14" t="str">
        <f>$B$514</f>
        <v> $ 0.83 </v>
      </c>
      <c r="B439" s="14" t="str">
        <f>$A$514</f>
        <v> $ 5.58 </v>
      </c>
      <c r="C439" s="17">
        <v>500.0</v>
      </c>
      <c r="H439" s="5"/>
      <c r="Y439" s="6"/>
    </row>
    <row r="440" ht="15.75" customHeight="1">
      <c r="A440" s="4" t="str">
        <f>(A439-A438)*C440</f>
        <v>-410</v>
      </c>
      <c r="B440" s="14" t="str">
        <f>C439*(B438-B439)</f>
        <v>-$ 197.50 </v>
      </c>
      <c r="C440" s="17">
        <v>500.0</v>
      </c>
      <c r="E440" s="14" t="str">
        <f>A440</f>
        <v>-$ 410.00 </v>
      </c>
      <c r="F440" s="14" t="str">
        <f>(B440+A440)</f>
        <v>-$ 607.50 </v>
      </c>
      <c r="G440" t="str">
        <f>IF(F440&gt;0, "TRADE","H")</f>
        <v>H</v>
      </c>
      <c r="H440" s="5"/>
      <c r="Y440" s="6"/>
    </row>
    <row r="441" ht="15.75" customHeight="1">
      <c r="A441" t="s">
        <v>5</v>
      </c>
      <c r="B441" t="s">
        <v>6</v>
      </c>
      <c r="C441" s="8">
        <v>46256.0</v>
      </c>
      <c r="K441" s="6"/>
    </row>
    <row r="442" ht="15.75" customHeight="1">
      <c r="A442" s="4">
        <v>2587.0</v>
      </c>
      <c r="B442" s="4">
        <v>2522.0</v>
      </c>
      <c r="I442" s="6"/>
    </row>
    <row r="443" ht="15.75" customHeight="1">
      <c r="A443" s="13">
        <v>1.845</v>
      </c>
      <c r="B443" s="4">
        <v>4.565</v>
      </c>
      <c r="M443" s="6"/>
    </row>
    <row r="444" ht="15.75" customHeight="1">
      <c r="A444" s="14" t="str">
        <f>$B$514</f>
        <v> $ 0.83 </v>
      </c>
      <c r="B444" s="14" t="str">
        <f>$A$514</f>
        <v> $ 5.58 </v>
      </c>
      <c r="C444" s="17">
        <v>500.0</v>
      </c>
      <c r="H444" s="5"/>
      <c r="Y444" s="6"/>
    </row>
    <row r="445" ht="15.75" customHeight="1">
      <c r="A445" s="4" t="str">
        <f>(A444-A443)*C445</f>
        <v>-507.5</v>
      </c>
      <c r="B445" s="14" t="str">
        <f>C444*(B443-B444)</f>
        <v>-$ 507.50 </v>
      </c>
      <c r="C445" s="17">
        <v>500.0</v>
      </c>
      <c r="E445" s="14" t="str">
        <f>A445</f>
        <v>-$ 507.50 </v>
      </c>
      <c r="F445" s="14" t="str">
        <f>(B445+A445)</f>
        <v>-$ 1,015.00 </v>
      </c>
      <c r="G445" t="str">
        <f>IF(F445&gt;0, "TRADE","H")</f>
        <v>H</v>
      </c>
      <c r="H445" s="5"/>
      <c r="Y445" s="6"/>
    </row>
    <row r="446" ht="15.75" customHeight="1">
      <c r="A446" t="s">
        <v>5</v>
      </c>
      <c r="B446" t="s">
        <v>6</v>
      </c>
      <c r="C446" s="8">
        <v>46127.0</v>
      </c>
      <c r="K446" s="6"/>
    </row>
    <row r="447" ht="15.75" customHeight="1">
      <c r="A447" s="4">
        <v>2587.0</v>
      </c>
      <c r="B447" s="4">
        <v>2522.0</v>
      </c>
      <c r="I447" s="6"/>
    </row>
    <row r="448" ht="15.75" customHeight="1">
      <c r="A448" s="13">
        <v>4.82</v>
      </c>
      <c r="B448" s="4">
        <v>6.57</v>
      </c>
      <c r="M448" s="6"/>
    </row>
    <row r="449" ht="15.75" customHeight="1">
      <c r="A449" s="14" t="str">
        <f>$B$514</f>
        <v> $ 0.83 </v>
      </c>
      <c r="B449" s="14" t="str">
        <f>$A$514</f>
        <v> $ 5.58 </v>
      </c>
      <c r="C449" s="17">
        <v>500.0</v>
      </c>
      <c r="H449" s="5"/>
      <c r="Y449" s="6"/>
    </row>
    <row r="450" ht="15.75" customHeight="1">
      <c r="A450" s="4" t="str">
        <f>(A449-A448)*C450</f>
        <v>-1995</v>
      </c>
      <c r="B450" s="14" t="str">
        <f>C449*(B448-B449)</f>
        <v> $ 495.00 </v>
      </c>
      <c r="C450" s="17">
        <v>500.0</v>
      </c>
      <c r="E450" s="14" t="str">
        <f>A450</f>
        <v>-$ 1,995.00 </v>
      </c>
      <c r="F450" s="14" t="str">
        <f>(B450+A450)</f>
        <v>-$ 1,500.00 </v>
      </c>
      <c r="G450" t="str">
        <f>IF(F450&gt;0, "TRADE","H")</f>
        <v>H</v>
      </c>
      <c r="H450" s="5"/>
      <c r="Y450" s="6"/>
    </row>
    <row r="451" ht="15.75" customHeight="1">
      <c r="A451" t="s">
        <v>5</v>
      </c>
      <c r="B451" t="s">
        <v>6</v>
      </c>
      <c r="C451" s="8">
        <v>45834.0</v>
      </c>
      <c r="K451" s="6"/>
    </row>
    <row r="452" ht="15.75" customHeight="1">
      <c r="A452" s="4">
        <v>2587.0</v>
      </c>
      <c r="B452" s="4">
        <v>2522.0</v>
      </c>
      <c r="I452" s="6"/>
    </row>
    <row r="453" ht="15.75" customHeight="1">
      <c r="A453" s="13">
        <v>4.75</v>
      </c>
      <c r="B453" s="4">
        <v>4.81</v>
      </c>
      <c r="M453" s="6"/>
    </row>
    <row r="454" ht="15.75" customHeight="1">
      <c r="A454" s="14" t="str">
        <f>$B$514</f>
        <v> $ 0.83 </v>
      </c>
      <c r="B454" s="14" t="str">
        <f>$A$514</f>
        <v> $ 5.58 </v>
      </c>
      <c r="C454" s="17">
        <v>500.0</v>
      </c>
      <c r="H454" s="5"/>
      <c r="Y454" s="6"/>
    </row>
    <row r="455" ht="15.75" customHeight="1">
      <c r="A455" s="4" t="str">
        <f>(A454-A453)*C455</f>
        <v>-1960</v>
      </c>
      <c r="B455" s="14" t="str">
        <f>C454*(B453-B454)</f>
        <v>-$ 385.00 </v>
      </c>
      <c r="C455" s="17">
        <v>500.0</v>
      </c>
      <c r="E455" s="14" t="str">
        <f>A455</f>
        <v>-$ 1,960.00 </v>
      </c>
      <c r="F455" s="14" t="str">
        <f>(B455+A455)</f>
        <v>-$ 2,345.00 </v>
      </c>
      <c r="G455" t="str">
        <f>IF(F455&gt;0, "TRADE","H")</f>
        <v>H</v>
      </c>
      <c r="H455" s="5"/>
      <c r="Y455" s="6"/>
    </row>
    <row r="456" ht="15.75" customHeight="1">
      <c r="A456" t="s">
        <v>5</v>
      </c>
      <c r="B456" t="s">
        <v>6</v>
      </c>
      <c r="C456" s="8">
        <v>45834.0</v>
      </c>
      <c r="K456" s="6"/>
    </row>
    <row r="457" ht="15.75" customHeight="1">
      <c r="A457" s="4">
        <v>2587.0</v>
      </c>
      <c r="B457" s="4">
        <v>2522.0</v>
      </c>
      <c r="I457" s="6"/>
    </row>
    <row r="458" ht="15.75" customHeight="1">
      <c r="A458" s="13">
        <v>13.54</v>
      </c>
      <c r="B458" s="4">
        <v>13.64</v>
      </c>
      <c r="M458" s="6"/>
    </row>
    <row r="459" ht="15.75" customHeight="1">
      <c r="A459" s="14" t="str">
        <f>$B$514</f>
        <v> $ 0.83 </v>
      </c>
      <c r="B459" s="14" t="str">
        <f>$A$514</f>
        <v> $ 5.58 </v>
      </c>
      <c r="C459" s="17">
        <v>500.0</v>
      </c>
      <c r="H459" s="5"/>
      <c r="Y459" s="6"/>
    </row>
    <row r="460" ht="15.75" customHeight="1">
      <c r="A460" s="4" t="str">
        <f>(A459-A458)*C460</f>
        <v>-6355</v>
      </c>
      <c r="B460" s="14" t="str">
        <f>C459*(B458-B459)</f>
        <v> $ 4,030.00 </v>
      </c>
      <c r="C460" s="17">
        <v>500.0</v>
      </c>
      <c r="E460" s="14" t="str">
        <f>A460</f>
        <v>-$ 6,355.00 </v>
      </c>
      <c r="F460" s="14" t="str">
        <f>(B460+A460)</f>
        <v>-$ 2,325.00 </v>
      </c>
      <c r="G460" t="str">
        <f>IF(F460&gt;0, "TRADE","H")</f>
        <v>H</v>
      </c>
      <c r="H460" s="5"/>
      <c r="Y460" s="6"/>
    </row>
    <row r="461" ht="15.75" customHeight="1">
      <c r="A461" t="s">
        <v>5</v>
      </c>
      <c r="B461" t="s">
        <v>6</v>
      </c>
      <c r="C461" s="8">
        <v>45840.0</v>
      </c>
      <c r="K461" s="6"/>
    </row>
    <row r="462" ht="15.75" customHeight="1">
      <c r="A462" s="4">
        <v>2587.0</v>
      </c>
      <c r="B462" s="4">
        <v>2522.0</v>
      </c>
      <c r="I462" s="6"/>
    </row>
    <row r="463" ht="15.75" customHeight="1">
      <c r="A463" s="13">
        <v>16.0</v>
      </c>
      <c r="B463" s="4">
        <v>14.08</v>
      </c>
      <c r="M463" s="6"/>
    </row>
    <row r="464" ht="15.75" customHeight="1">
      <c r="A464" s="14" t="str">
        <f>$B$514</f>
        <v> $ 0.83 </v>
      </c>
      <c r="B464" s="14" t="str">
        <f>$A$514</f>
        <v> $ 5.58 </v>
      </c>
      <c r="C464" s="17">
        <v>500.0</v>
      </c>
      <c r="H464" s="5"/>
      <c r="Y464" s="6"/>
    </row>
    <row r="465" ht="15.75" customHeight="1">
      <c r="A465" s="4" t="str">
        <f>(A464-A463)*C465</f>
        <v>-7585</v>
      </c>
      <c r="B465" s="14" t="str">
        <f>C464*(B463-B464)</f>
        <v> $ 4,250.00 </v>
      </c>
      <c r="C465" s="17">
        <v>500.0</v>
      </c>
      <c r="E465" s="14" t="str">
        <f>A465</f>
        <v>-$ 7,585.00 </v>
      </c>
      <c r="F465" s="14" t="str">
        <f>(B465+A465)</f>
        <v>-$ 3,335.00 </v>
      </c>
      <c r="G465" t="str">
        <f>IF(F465&gt;0, "TRADE","H")</f>
        <v>H</v>
      </c>
      <c r="H465" s="5"/>
      <c r="Y465" s="6"/>
    </row>
    <row r="466" ht="15.75" customHeight="1">
      <c r="A466" t="s">
        <v>5</v>
      </c>
      <c r="B466" t="s">
        <v>6</v>
      </c>
      <c r="C466" s="8">
        <v>45840.0</v>
      </c>
      <c r="K466" s="6"/>
    </row>
    <row r="467" ht="15.75" customHeight="1">
      <c r="A467" s="4">
        <v>2587.0</v>
      </c>
      <c r="B467" s="4">
        <v>2522.0</v>
      </c>
      <c r="I467" s="6"/>
    </row>
    <row r="468" ht="15.75" customHeight="1">
      <c r="A468" s="13">
        <v>15.18</v>
      </c>
      <c r="B468" s="4">
        <v>13.94</v>
      </c>
      <c r="M468" s="6"/>
    </row>
    <row r="469" ht="15.75" customHeight="1">
      <c r="A469" s="14" t="str">
        <f>$B$514</f>
        <v> $ 0.83 </v>
      </c>
      <c r="B469" s="14" t="str">
        <f>$A$514</f>
        <v> $ 5.58 </v>
      </c>
      <c r="C469" s="17">
        <v>500.0</v>
      </c>
      <c r="H469" s="5"/>
      <c r="Y469" s="6"/>
    </row>
    <row r="470" ht="15.75" customHeight="1">
      <c r="A470" s="4" t="str">
        <f>(A469-A468)*C470</f>
        <v>-7175</v>
      </c>
      <c r="B470" s="14" t="str">
        <f>C469*(B468-B469)</f>
        <v> $ 4,180.00 </v>
      </c>
      <c r="C470" s="17">
        <v>500.0</v>
      </c>
      <c r="E470" s="14" t="str">
        <f>A470</f>
        <v>-$ 7,175.00 </v>
      </c>
      <c r="F470" s="14" t="str">
        <f>(B470+A470)</f>
        <v>-$ 2,995.00 </v>
      </c>
      <c r="G470" t="str">
        <f>IF(F470&gt;0, "TRADE","H")</f>
        <v>H</v>
      </c>
      <c r="H470" s="5"/>
      <c r="Y470" s="6"/>
    </row>
    <row r="471" ht="15.75" customHeight="1">
      <c r="A471" t="s">
        <v>5</v>
      </c>
      <c r="B471" t="s">
        <v>6</v>
      </c>
      <c r="C471" s="8">
        <v>45838.0</v>
      </c>
      <c r="K471" s="6"/>
    </row>
    <row r="472" ht="15.75" customHeight="1">
      <c r="A472" s="4">
        <v>2587.0</v>
      </c>
      <c r="B472" s="4">
        <v>2522.0</v>
      </c>
      <c r="I472" s="6"/>
    </row>
    <row r="473" ht="15.75" customHeight="1">
      <c r="A473" s="13">
        <v>17.5</v>
      </c>
      <c r="B473" s="4">
        <v>13.6</v>
      </c>
      <c r="M473" s="6"/>
    </row>
    <row r="474" ht="15.75" customHeight="1">
      <c r="A474" s="14" t="str">
        <f>$B$514</f>
        <v> $ 0.83 </v>
      </c>
      <c r="B474" s="14" t="str">
        <f>$A$514</f>
        <v> $ 5.58 </v>
      </c>
      <c r="C474" s="17">
        <v>500.0</v>
      </c>
      <c r="H474" s="5"/>
      <c r="Y474" s="6"/>
    </row>
    <row r="475" ht="15.75" customHeight="1">
      <c r="A475" s="4" t="str">
        <f>(A474-A473)*C475</f>
        <v>-8335</v>
      </c>
      <c r="B475" s="14" t="str">
        <f>C474*(B473-B474)</f>
        <v> $ 4,010.00 </v>
      </c>
      <c r="C475" s="17">
        <v>500.0</v>
      </c>
      <c r="E475" s="14" t="str">
        <f>A475</f>
        <v>-$ 8,335.00 </v>
      </c>
      <c r="F475" s="14" t="str">
        <f>(B475+A475)</f>
        <v>-$ 4,325.00 </v>
      </c>
      <c r="G475" t="str">
        <f>IF(F475&gt;0, "TRADE","H")</f>
        <v>H</v>
      </c>
      <c r="H475" s="5"/>
      <c r="Y475" s="6"/>
    </row>
    <row r="476" ht="15.75" customHeight="1">
      <c r="A476" t="s">
        <v>5</v>
      </c>
      <c r="B476" t="s">
        <v>6</v>
      </c>
      <c r="C476" s="8">
        <v>45838.0</v>
      </c>
      <c r="K476" s="6"/>
    </row>
    <row r="477" ht="15.75" customHeight="1">
      <c r="A477" s="4">
        <v>2587.0</v>
      </c>
      <c r="B477" s="4">
        <v>2522.0</v>
      </c>
      <c r="I477" s="6"/>
    </row>
    <row r="478" ht="15.75" customHeight="1">
      <c r="A478" s="13">
        <v>17.36</v>
      </c>
      <c r="B478" s="4">
        <v>14.04</v>
      </c>
      <c r="M478" s="6"/>
    </row>
    <row r="479" ht="15.75" customHeight="1">
      <c r="A479" s="14" t="str">
        <f>$B$514</f>
        <v> $ 0.83 </v>
      </c>
      <c r="B479" s="14" t="str">
        <f>$A$514</f>
        <v> $ 5.58 </v>
      </c>
      <c r="C479" s="17">
        <v>500.0</v>
      </c>
      <c r="H479" s="5"/>
      <c r="Y479" s="6"/>
    </row>
    <row r="480" ht="15.75" customHeight="1">
      <c r="A480" s="4" t="str">
        <f>(A479-A478)*C480</f>
        <v>-8265</v>
      </c>
      <c r="B480" s="14" t="str">
        <f>C479*(B478-B479)</f>
        <v> $ 4,230.00 </v>
      </c>
      <c r="C480" s="17">
        <v>500.0</v>
      </c>
      <c r="E480" s="14" t="str">
        <f>A480</f>
        <v>-$ 8,265.00 </v>
      </c>
      <c r="F480" s="14" t="str">
        <f>(B480+A480)</f>
        <v>-$ 4,035.00 </v>
      </c>
      <c r="G480" t="str">
        <f>IF(F480&gt;0, "TRADE","H")</f>
        <v>H</v>
      </c>
      <c r="H480" s="5"/>
      <c r="Y480" s="6"/>
    </row>
    <row r="481" ht="15.75" customHeight="1">
      <c r="A481" t="s">
        <v>5</v>
      </c>
      <c r="B481" t="s">
        <v>6</v>
      </c>
      <c r="C481" s="8">
        <v>45834.0</v>
      </c>
      <c r="K481" s="6"/>
    </row>
    <row r="482" ht="15.75" customHeight="1">
      <c r="A482" s="4">
        <v>2587.0</v>
      </c>
      <c r="B482" s="4">
        <v>2522.0</v>
      </c>
      <c r="I482" s="6"/>
    </row>
    <row r="483" ht="15.75" customHeight="1">
      <c r="A483" s="13">
        <v>18.6</v>
      </c>
      <c r="B483" s="4">
        <v>13.32</v>
      </c>
      <c r="M483" s="6"/>
    </row>
    <row r="484" ht="15.75" customHeight="1">
      <c r="A484" s="14" t="str">
        <f>$B$514</f>
        <v> $ 0.83 </v>
      </c>
      <c r="B484" s="14" t="str">
        <f>$A$514</f>
        <v> $ 5.58 </v>
      </c>
      <c r="C484" s="17">
        <v>500.0</v>
      </c>
      <c r="H484" s="5"/>
      <c r="Y484" s="6"/>
    </row>
    <row r="485" ht="15.75" customHeight="1">
      <c r="A485" s="4" t="str">
        <f>(A484-A483)*C485</f>
        <v>-8885</v>
      </c>
      <c r="B485" s="14" t="str">
        <f>C484*(B483-B484)</f>
        <v> $ 3,870.00 </v>
      </c>
      <c r="C485" s="17">
        <v>500.0</v>
      </c>
      <c r="E485" s="14" t="str">
        <f>A485</f>
        <v>-$ 8,885.00 </v>
      </c>
      <c r="F485" s="14" t="str">
        <f>(B485+A485)</f>
        <v>-$ 5,015.00 </v>
      </c>
      <c r="G485" t="str">
        <f>IF(F485&gt;0, "TRADE","H")</f>
        <v>H</v>
      </c>
      <c r="H485" s="5"/>
      <c r="Y485" s="6"/>
    </row>
    <row r="486" ht="15.75" customHeight="1">
      <c r="A486" t="s">
        <v>5</v>
      </c>
      <c r="B486" t="s">
        <v>6</v>
      </c>
      <c r="C486" s="8">
        <v>45982.0</v>
      </c>
      <c r="K486" s="6"/>
    </row>
    <row r="487" ht="15.75" customHeight="1">
      <c r="A487" s="4">
        <v>2522.0</v>
      </c>
      <c r="B487" s="4">
        <v>2587.0</v>
      </c>
      <c r="I487" s="6"/>
    </row>
    <row r="488" ht="15.75" customHeight="1">
      <c r="A488" s="13">
        <v>15.65</v>
      </c>
      <c r="B488" s="4">
        <v>5.23</v>
      </c>
      <c r="M488" s="6"/>
    </row>
    <row r="489" ht="15.75" customHeight="1">
      <c r="A489" s="14" t="str">
        <f>$A$514</f>
        <v> $ 5.58 </v>
      </c>
      <c r="B489" s="14" t="str">
        <f>$B$514</f>
        <v> $ 0.83 </v>
      </c>
      <c r="C489" s="17">
        <v>500.0</v>
      </c>
      <c r="H489" s="5"/>
      <c r="Y489" s="6"/>
    </row>
    <row r="490" ht="15.75" customHeight="1">
      <c r="A490" s="4" t="str">
        <f>(A489-A488)*C490</f>
        <v>-5035</v>
      </c>
      <c r="B490" s="14" t="str">
        <f>C489*(B488-B489)</f>
        <v> $ 2,200.00 </v>
      </c>
      <c r="C490" s="17">
        <v>500.0</v>
      </c>
      <c r="E490" s="14" t="str">
        <f>A490</f>
        <v>-$ 5,035.00 </v>
      </c>
      <c r="F490" s="14" t="str">
        <f>(B490+A490)</f>
        <v>-$ 2,835.00 </v>
      </c>
      <c r="G490" t="str">
        <f>IF(F490&gt;0, "TRADE","H")</f>
        <v>H</v>
      </c>
      <c r="H490" s="5"/>
      <c r="Y490" s="6"/>
    </row>
    <row r="491" ht="15.75" customHeight="1">
      <c r="A491" t="s">
        <v>5</v>
      </c>
      <c r="B491" t="s">
        <v>6</v>
      </c>
      <c r="C491" s="8">
        <v>45987.0</v>
      </c>
      <c r="K491" s="6"/>
    </row>
    <row r="492" ht="15.75" customHeight="1">
      <c r="A492" s="4">
        <v>2522.0</v>
      </c>
      <c r="B492" s="4">
        <v>2587.0</v>
      </c>
      <c r="I492" s="6"/>
    </row>
    <row r="493" ht="15.75" customHeight="1">
      <c r="A493" s="13">
        <v>14.79</v>
      </c>
      <c r="B493" s="4">
        <v>5.31</v>
      </c>
      <c r="M493" s="6"/>
    </row>
    <row r="494" ht="15.75" customHeight="1">
      <c r="A494" s="14" t="str">
        <f>$A$514</f>
        <v> $ 5.58 </v>
      </c>
      <c r="B494" s="14" t="str">
        <f>$B$514</f>
        <v> $ 0.83 </v>
      </c>
      <c r="C494" s="17">
        <v>500.0</v>
      </c>
      <c r="H494" s="5"/>
      <c r="Y494" s="6"/>
    </row>
    <row r="495" ht="15.75" customHeight="1">
      <c r="A495" s="4" t="str">
        <f>(A494-A493)*C495</f>
        <v>-4605</v>
      </c>
      <c r="B495" s="14" t="str">
        <f>C494*(B493-B494)</f>
        <v> $ 2,240.00 </v>
      </c>
      <c r="C495" s="17">
        <v>500.0</v>
      </c>
      <c r="E495" s="14" t="str">
        <f>A495</f>
        <v>-$ 4,605.00 </v>
      </c>
      <c r="F495" s="14" t="str">
        <f>(B495+A495)</f>
        <v>-$ 2,365.00 </v>
      </c>
      <c r="G495" t="str">
        <f>IF(F495&gt;0, "TRADE","H")</f>
        <v>H</v>
      </c>
      <c r="H495" s="5"/>
      <c r="Y495" s="6"/>
    </row>
    <row r="496" ht="15.75" customHeight="1">
      <c r="A496" t="s">
        <v>5</v>
      </c>
      <c r="B496" t="s">
        <v>6</v>
      </c>
      <c r="C496" s="8">
        <v>45988.0</v>
      </c>
      <c r="K496" s="6"/>
    </row>
    <row r="497" ht="15.75" customHeight="1">
      <c r="A497" s="4">
        <v>2522.0</v>
      </c>
      <c r="B497" s="4">
        <v>2587.0</v>
      </c>
      <c r="I497" s="6"/>
    </row>
    <row r="498" ht="15.75" customHeight="1">
      <c r="A498" s="13">
        <v>14.36</v>
      </c>
      <c r="B498" s="4">
        <v>5.13</v>
      </c>
      <c r="M498" s="6"/>
    </row>
    <row r="499" ht="15.75" customHeight="1">
      <c r="A499" s="14" t="str">
        <f>$A$514</f>
        <v> $ 5.58 </v>
      </c>
      <c r="B499" s="14" t="str">
        <f>$B$514</f>
        <v> $ 0.83 </v>
      </c>
      <c r="C499" s="17">
        <v>500.0</v>
      </c>
      <c r="H499" s="5"/>
      <c r="Y499" s="6"/>
    </row>
    <row r="500" ht="15.75" customHeight="1">
      <c r="A500" s="4" t="str">
        <f>(A499-A498)*C500</f>
        <v>-4390</v>
      </c>
      <c r="B500" s="14" t="str">
        <f>C499*(B498-B499)</f>
        <v> $ 2,150.00 </v>
      </c>
      <c r="C500" s="17">
        <v>500.0</v>
      </c>
      <c r="E500" s="14" t="str">
        <f>A500</f>
        <v>-$ 4,390.00 </v>
      </c>
      <c r="F500" s="14" t="str">
        <f>(B500+A500)</f>
        <v>-$ 2,240.00 </v>
      </c>
      <c r="G500" t="str">
        <f>IF(F500&gt;0, "TRADE","H")</f>
        <v>H</v>
      </c>
      <c r="H500" s="5"/>
      <c r="Y500" s="6"/>
    </row>
    <row r="501" ht="15.75" customHeight="1">
      <c r="A501" t="s">
        <v>5</v>
      </c>
      <c r="B501" t="s">
        <v>6</v>
      </c>
      <c r="C501" s="8">
        <v>45992.0</v>
      </c>
      <c r="K501" s="6"/>
    </row>
    <row r="502" ht="15.75" customHeight="1">
      <c r="A502" s="4">
        <v>2522.0</v>
      </c>
      <c r="B502" s="4">
        <v>2587.0</v>
      </c>
      <c r="I502" s="6"/>
    </row>
    <row r="503" ht="15.75" customHeight="1">
      <c r="A503" s="13">
        <v>13.84</v>
      </c>
      <c r="B503" s="4">
        <v>5.07</v>
      </c>
      <c r="M503" s="6"/>
    </row>
    <row r="504" ht="15.75" customHeight="1">
      <c r="A504" s="14" t="str">
        <f>$A$514</f>
        <v> $ 5.58 </v>
      </c>
      <c r="B504" s="14" t="str">
        <f>$B$514</f>
        <v> $ 0.83 </v>
      </c>
      <c r="C504" s="17">
        <v>500.0</v>
      </c>
      <c r="H504" s="5"/>
      <c r="Y504" s="6"/>
    </row>
    <row r="505" ht="15.75" customHeight="1">
      <c r="A505" s="4" t="str">
        <f>(A504-A503)*C505</f>
        <v>-4130</v>
      </c>
      <c r="B505" s="14" t="str">
        <f>C504*(B503-B504)</f>
        <v> $ 2,120.00 </v>
      </c>
      <c r="C505" s="17">
        <v>500.0</v>
      </c>
      <c r="E505" s="14" t="str">
        <f>A505</f>
        <v>-$ 4,130.00 </v>
      </c>
      <c r="F505" s="14" t="str">
        <f>(B505+A505)</f>
        <v>-$ 2,010.00 </v>
      </c>
      <c r="G505" t="str">
        <f>IF(F505&gt;0, "TRADE","H")</f>
        <v>H</v>
      </c>
      <c r="H505" s="5"/>
      <c r="Y505" s="6"/>
    </row>
    <row r="506" ht="15.75" customHeight="1">
      <c r="A506" t="s">
        <v>5</v>
      </c>
      <c r="B506" t="s">
        <v>6</v>
      </c>
      <c r="C506" s="8">
        <v>45996.0</v>
      </c>
      <c r="K506" s="6"/>
    </row>
    <row r="507" ht="15.75" customHeight="1">
      <c r="A507" s="4">
        <v>2522.0</v>
      </c>
      <c r="B507" s="4">
        <v>2587.0</v>
      </c>
      <c r="I507" s="6"/>
    </row>
    <row r="508" ht="15.75" customHeight="1">
      <c r="A508" s="13">
        <v>11.73</v>
      </c>
      <c r="B508" s="4">
        <v>4.48</v>
      </c>
      <c r="M508" s="6"/>
    </row>
    <row r="509" ht="15.75" customHeight="1">
      <c r="A509" s="14" t="str">
        <f>$A$514</f>
        <v> $ 5.58 </v>
      </c>
      <c r="B509" s="14" t="str">
        <f>$B$514</f>
        <v> $ 0.83 </v>
      </c>
      <c r="C509" s="17">
        <v>500.0</v>
      </c>
      <c r="H509" s="5"/>
      <c r="Y509" s="6"/>
    </row>
    <row r="510" ht="15.75" customHeight="1">
      <c r="A510" s="4" t="str">
        <f>(A509-A508)*C510</f>
        <v>-3075</v>
      </c>
      <c r="B510" s="14" t="str">
        <f>C509*(B508-B509)</f>
        <v> $ 1,825.00 </v>
      </c>
      <c r="C510" s="17">
        <v>500.0</v>
      </c>
      <c r="E510" s="14" t="str">
        <f>A510</f>
        <v>-$ 3,075.00 </v>
      </c>
      <c r="F510" s="14" t="str">
        <f>(B510+A510)</f>
        <v>-$ 1,250.00 </v>
      </c>
      <c r="G510" t="str">
        <f>IF(F510&gt;0, "TRADE","H")</f>
        <v>H</v>
      </c>
      <c r="H510" s="5"/>
      <c r="Y510" s="6"/>
    </row>
    <row r="511" ht="15.75" customHeight="1">
      <c r="A511" t="s">
        <v>5</v>
      </c>
      <c r="B511" t="s">
        <v>6</v>
      </c>
      <c r="C511" s="8">
        <v>45723.0</v>
      </c>
      <c r="K511" s="6"/>
    </row>
    <row r="512" ht="15.75" customHeight="1">
      <c r="A512" s="4">
        <v>2522.0</v>
      </c>
      <c r="B512" s="4">
        <v>2587.0</v>
      </c>
      <c r="I512" s="6"/>
    </row>
    <row r="513" ht="15.75" customHeight="1">
      <c r="A513" s="13">
        <v>37.35</v>
      </c>
      <c r="B513" s="4">
        <v>20.6</v>
      </c>
      <c r="M513" s="6"/>
    </row>
    <row r="514" ht="15.75" customHeight="1">
      <c r="A514" s="15" t="str">
        <f>I407</f>
        <v> $ 5.58 </v>
      </c>
      <c r="B514" s="15" t="str">
        <f>I406</f>
        <v> $ 0.83 </v>
      </c>
      <c r="C514" s="17">
        <v>500.0</v>
      </c>
      <c r="H514" s="5"/>
      <c r="Y514" s="6"/>
    </row>
    <row r="515" ht="15.75" customHeight="1">
      <c r="A515" s="4" t="str">
        <f>(A514-A513)*C515</f>
        <v>-31770</v>
      </c>
      <c r="B515" s="14" t="str">
        <f>C514*(B513-B514)</f>
        <v> $ 9,885.00 </v>
      </c>
      <c r="C515" s="17">
        <v>1000.0</v>
      </c>
      <c r="E515" s="14" t="str">
        <f>A515</f>
        <v>-$ 31,770.00 </v>
      </c>
      <c r="F515" s="14" t="str">
        <f>(B515+A515)</f>
        <v>-$ 21,885.00 </v>
      </c>
      <c r="G515" t="str">
        <f>IF(F515&gt;0, "TRADE","H")</f>
        <v>H</v>
      </c>
      <c r="H515" s="5"/>
      <c r="Y515" s="6"/>
    </row>
    <row r="516" ht="15.75" customHeight="1">
      <c r="A516" s="4"/>
      <c r="B516" s="14"/>
      <c r="E516" s="14"/>
      <c r="V516" s="6"/>
    </row>
    <row r="517" ht="15.75" customHeight="1">
      <c r="A517" t="s">
        <v>5</v>
      </c>
      <c r="B517" t="s">
        <v>6</v>
      </c>
      <c r="C517" s="8">
        <v>45573.0</v>
      </c>
      <c r="H517" s="5" t="str">
        <f>(I517-K517)/K517-$D$3</f>
        <v>81.10%</v>
      </c>
      <c r="I517" s="9">
        <v>28.3</v>
      </c>
      <c r="J517" s="10">
        <v>600089.0</v>
      </c>
      <c r="K517">
        <v>15.89</v>
      </c>
      <c r="W517" s="6"/>
    </row>
    <row r="518" ht="15.75" customHeight="1">
      <c r="A518" s="4">
        <v>600089.0</v>
      </c>
      <c r="B518" s="4"/>
      <c r="H518" s="5"/>
      <c r="I518" s="11"/>
      <c r="J518" s="12"/>
      <c r="W518" s="6"/>
    </row>
    <row r="519" ht="15.75" customHeight="1">
      <c r="A519" s="13">
        <v>15.89</v>
      </c>
      <c r="B519" s="4"/>
      <c r="H519" s="5"/>
      <c r="Y519" s="6"/>
    </row>
    <row r="520" ht="15.75" customHeight="1">
      <c r="A520" s="15" t="str">
        <f>I517</f>
        <v> $ 28.30 </v>
      </c>
      <c r="B520" s="14"/>
      <c r="C520" s="17"/>
      <c r="H520" s="5"/>
      <c r="Y520" s="6"/>
    </row>
    <row r="521" ht="15.75" customHeight="1">
      <c r="A521" s="4" t="str">
        <f>(A520-A519)*C521</f>
        <v>18615</v>
      </c>
      <c r="B521" s="4"/>
      <c r="C521" s="17">
        <v>1500.0</v>
      </c>
      <c r="E521" s="14" t="str">
        <f>A521</f>
        <v> $ 18,615.00 </v>
      </c>
      <c r="F521" s="4" t="str">
        <f>(B521+A521)</f>
        <v>18615</v>
      </c>
      <c r="G521" t="str">
        <f>IF(F521&gt;0, "TRADE","H")</f>
        <v>TRADE</v>
      </c>
      <c r="H521" s="5"/>
      <c r="Y521" s="6"/>
    </row>
    <row r="522" ht="15.75" customHeight="1">
      <c r="A522" t="s">
        <v>5</v>
      </c>
      <c r="B522" t="s">
        <v>6</v>
      </c>
      <c r="C522" s="8">
        <v>45699.0</v>
      </c>
      <c r="S522" s="6"/>
    </row>
    <row r="523" ht="15.75" customHeight="1">
      <c r="A523" s="4">
        <v>600089.0</v>
      </c>
      <c r="B523" s="4"/>
      <c r="S523" s="6"/>
    </row>
    <row r="524" ht="15.75" customHeight="1">
      <c r="A524" s="13">
        <v>12.28</v>
      </c>
      <c r="B524" s="4"/>
      <c r="U524" s="6"/>
    </row>
    <row r="525" ht="15.75" customHeight="1">
      <c r="A525" s="14" t="str">
        <f>A520</f>
        <v> $ 28.30 </v>
      </c>
      <c r="B525" s="14"/>
      <c r="C525" s="17"/>
      <c r="H525" s="5"/>
      <c r="Y525" s="6"/>
    </row>
    <row r="526" ht="15.75" customHeight="1">
      <c r="A526" s="4" t="str">
        <f>(A525-A524)*C526</f>
        <v>11214</v>
      </c>
      <c r="B526" s="4"/>
      <c r="C526" s="17">
        <v>700.0</v>
      </c>
      <c r="E526" s="14" t="str">
        <f>A526</f>
        <v> $ 11,214.00 </v>
      </c>
      <c r="F526" s="4" t="str">
        <f>(B526+A526)</f>
        <v>11214</v>
      </c>
      <c r="G526" t="str">
        <f>IF(F526&gt;0, "TRADE","H")</f>
        <v>TRADE</v>
      </c>
      <c r="H526" s="5"/>
      <c r="Y526" s="6"/>
    </row>
    <row r="527" ht="15.75" customHeight="1">
      <c r="A527" t="s">
        <v>5</v>
      </c>
      <c r="B527" t="s">
        <v>6</v>
      </c>
      <c r="C527" s="8">
        <v>45621.0</v>
      </c>
      <c r="H527" s="5" t="str">
        <f>(I527-K527)/K527-$D$3</f>
        <v>88.74%</v>
      </c>
      <c r="I527" s="9">
        <v>157.7</v>
      </c>
      <c r="J527" s="10">
        <v>9880.0</v>
      </c>
      <c r="K527">
        <v>84.9</v>
      </c>
      <c r="M527" s="6"/>
      <c r="O527" s="6"/>
    </row>
    <row r="528" ht="15.75" customHeight="1">
      <c r="A528" s="4">
        <v>9880.0</v>
      </c>
      <c r="B528" s="4"/>
      <c r="H528" s="5"/>
      <c r="I528" s="9"/>
      <c r="J528" s="12"/>
    </row>
    <row r="529" ht="15.75" customHeight="1">
      <c r="A529" s="13">
        <v>84.9</v>
      </c>
      <c r="B529" s="4"/>
      <c r="H529" s="5" t="str">
        <f>H527-H528</f>
        <v>88.74%</v>
      </c>
      <c r="Q529" s="6"/>
    </row>
    <row r="530" ht="15.75" customHeight="1">
      <c r="A530" s="15" t="str">
        <f>I527</f>
        <v> $ 157.70 </v>
      </c>
      <c r="B530" s="15"/>
      <c r="C530" s="17"/>
      <c r="H530" s="5"/>
      <c r="Y530" s="6"/>
    </row>
    <row r="531" ht="15.75" customHeight="1">
      <c r="A531" s="4" t="str">
        <f>(A530-A529)*C531</f>
        <v>21840</v>
      </c>
      <c r="B531" s="14"/>
      <c r="C531" s="17">
        <v>300.0</v>
      </c>
      <c r="E531" s="14" t="str">
        <f>A531</f>
        <v> $ 21,840.00 </v>
      </c>
      <c r="F531" s="14" t="str">
        <f>(B531+A531)</f>
        <v> $ 21,840.00 </v>
      </c>
      <c r="G531" t="str">
        <f>IF(F531&gt;0, "TRADE","H")</f>
        <v>TRADE</v>
      </c>
      <c r="H531" s="5"/>
      <c r="Y531" s="6"/>
    </row>
    <row r="532" ht="15.75" customHeight="1">
      <c r="A532" t="s">
        <v>5</v>
      </c>
      <c r="B532" t="s">
        <v>6</v>
      </c>
      <c r="C532" s="8">
        <v>45621.0</v>
      </c>
      <c r="K532" s="6"/>
    </row>
    <row r="533" ht="15.75" customHeight="1">
      <c r="A533" s="4">
        <v>9880.0</v>
      </c>
      <c r="B533" s="4"/>
      <c r="I533" s="6"/>
      <c r="M533" s="6"/>
    </row>
    <row r="534" ht="15.75" customHeight="1">
      <c r="A534" s="13">
        <v>83.75</v>
      </c>
      <c r="B534" s="4"/>
    </row>
    <row r="535" ht="15.75" customHeight="1">
      <c r="A535" s="14" t="str">
        <f>A530</f>
        <v> $ 157.70 </v>
      </c>
      <c r="B535" s="15"/>
      <c r="C535" s="17"/>
      <c r="H535" s="5"/>
      <c r="Y535" s="6"/>
    </row>
    <row r="536" ht="15.75" customHeight="1">
      <c r="A536" s="4" t="str">
        <f>(A535-A534)*C536</f>
        <v>22185</v>
      </c>
      <c r="B536" s="14"/>
      <c r="C536" s="17">
        <v>300.0</v>
      </c>
      <c r="E536" s="14" t="str">
        <f>A536</f>
        <v> $ 22,185.00 </v>
      </c>
      <c r="F536" s="14" t="str">
        <f>(B536+A536)</f>
        <v> $ 22,185.00 </v>
      </c>
      <c r="G536" t="str">
        <f>IF(F536&gt;0, "TRADE","H")</f>
        <v>TRADE</v>
      </c>
      <c r="H536" s="5"/>
      <c r="Y536" s="6"/>
    </row>
    <row r="537" ht="15.75" customHeight="1">
      <c r="A537" t="s">
        <v>5</v>
      </c>
      <c r="B537" t="s">
        <v>6</v>
      </c>
      <c r="C537" s="8">
        <v>45656.0</v>
      </c>
      <c r="H537" s="5"/>
      <c r="Z537" s="6"/>
    </row>
    <row r="538" ht="15.75" customHeight="1">
      <c r="A538" s="4">
        <v>9880.0</v>
      </c>
      <c r="B538" s="4" t="s">
        <v>25</v>
      </c>
      <c r="H538" s="5"/>
      <c r="Z538" s="6"/>
    </row>
    <row r="539" ht="15.75" customHeight="1">
      <c r="A539" s="13">
        <v>77.65</v>
      </c>
      <c r="B539" s="4">
        <v>84.7</v>
      </c>
      <c r="H539" s="5"/>
      <c r="Z539" s="6"/>
    </row>
    <row r="540" ht="15.75" customHeight="1">
      <c r="A540" s="14" t="str">
        <f>A530</f>
        <v> $ 157.70 </v>
      </c>
      <c r="B540" s="14" t="str">
        <f>#REF!</f>
        <v>#REF!</v>
      </c>
      <c r="C540" s="26">
        <v>300.0</v>
      </c>
      <c r="D540" t="s">
        <v>8</v>
      </c>
      <c r="H540" s="5"/>
      <c r="Z540" s="6"/>
    </row>
    <row r="541" ht="15.75" customHeight="1">
      <c r="A541" s="4" t="str">
        <f>(A540-A539)*C541</f>
        <v>24015</v>
      </c>
      <c r="B541" s="4"/>
      <c r="C541" s="26">
        <v>300.0</v>
      </c>
      <c r="D541" t="s">
        <v>9</v>
      </c>
      <c r="E541" s="14" t="str">
        <f>A541</f>
        <v> $ 24,015.00 </v>
      </c>
      <c r="F541" s="4" t="str">
        <f>(B541+A541)</f>
        <v>24015</v>
      </c>
      <c r="G541" t="str">
        <f>IF(F541&gt;0, "TRADE","H")</f>
        <v>TRADE</v>
      </c>
      <c r="H541" s="5"/>
      <c r="Z541" s="6"/>
    </row>
    <row r="542" ht="15.75" customHeight="1">
      <c r="A542" t="s">
        <v>5</v>
      </c>
      <c r="B542" t="s">
        <v>6</v>
      </c>
      <c r="C542" s="8">
        <v>45656.0</v>
      </c>
      <c r="H542" s="5"/>
      <c r="Z542" s="6"/>
    </row>
    <row r="543" ht="15.75" customHeight="1">
      <c r="A543" s="4">
        <v>9880.0</v>
      </c>
      <c r="B543" s="4" t="s">
        <v>25</v>
      </c>
      <c r="H543" s="5"/>
      <c r="Z543" s="6"/>
    </row>
    <row r="544" ht="15.75" customHeight="1">
      <c r="A544" s="13">
        <v>73.35</v>
      </c>
      <c r="B544" s="4">
        <v>83.9</v>
      </c>
      <c r="H544" s="5"/>
      <c r="Z544" s="6"/>
    </row>
    <row r="545" ht="15.75" customHeight="1">
      <c r="A545" s="14" t="str">
        <f>A530</f>
        <v> $ 157.70 </v>
      </c>
      <c r="B545" s="14" t="str">
        <f>#REF!</f>
        <v>#REF!</v>
      </c>
      <c r="C545" s="26">
        <v>300.0</v>
      </c>
      <c r="D545" t="s">
        <v>8</v>
      </c>
      <c r="H545" s="5"/>
      <c r="Z545" s="6"/>
    </row>
    <row r="546" ht="15.75" customHeight="1">
      <c r="A546" s="4" t="str">
        <f>(A545-A544)*C546</f>
        <v>25305</v>
      </c>
      <c r="B546" s="4"/>
      <c r="C546" s="26">
        <v>300.0</v>
      </c>
      <c r="D546" t="s">
        <v>9</v>
      </c>
      <c r="E546" s="14" t="str">
        <f>A546</f>
        <v> $ 25,305.00 </v>
      </c>
      <c r="F546" s="4" t="str">
        <f>(B546+A546)</f>
        <v>25305</v>
      </c>
      <c r="G546" t="str">
        <f>IF(F546&gt;0, "TRADE","H")</f>
        <v>TRADE</v>
      </c>
      <c r="H546" s="5"/>
      <c r="Z546" s="6"/>
    </row>
    <row r="547" ht="15.75" customHeight="1">
      <c r="A547" s="28"/>
      <c r="B547" s="14"/>
      <c r="H547" s="5"/>
      <c r="U547" s="4"/>
      <c r="V547" s="4"/>
      <c r="W547" s="4"/>
      <c r="X547" s="4"/>
      <c r="Y547" s="4"/>
      <c r="Z547" s="6"/>
    </row>
    <row r="548" ht="15.75" customHeight="1">
      <c r="A548" s="28"/>
      <c r="B548" s="14"/>
      <c r="G548" s="4"/>
      <c r="H548" s="5"/>
      <c r="Z548" s="6"/>
    </row>
  </sheetData>
  <conditionalFormatting sqref="H261:H262 H276:H277">
    <cfRule type="expression" dxfId="0" priority="1">
      <formula>H261&lt;($D$3-6%)</formula>
    </cfRule>
  </conditionalFormatting>
  <conditionalFormatting sqref="H261:H262 H276:H277">
    <cfRule type="expression" dxfId="1" priority="2">
      <formula>H261&gt;($D$3+6%)</formula>
    </cfRule>
  </conditionalFormatting>
  <conditionalFormatting sqref="H261:H262 H276:H277">
    <cfRule type="expression" dxfId="2" priority="3">
      <formula>H261&lt;($D$3-3%)</formula>
    </cfRule>
  </conditionalFormatting>
  <conditionalFormatting sqref="H261:H262 H276:H277">
    <cfRule type="expression" dxfId="3" priority="4">
      <formula>H261&gt;($D$3+3%)</formula>
    </cfRule>
  </conditionalFormatting>
  <conditionalFormatting sqref="H266:H267">
    <cfRule type="expression" dxfId="0" priority="5">
      <formula>H266&lt;($D$3-6%)</formula>
    </cfRule>
  </conditionalFormatting>
  <conditionalFormatting sqref="H266:H267">
    <cfRule type="expression" dxfId="1" priority="6">
      <formula>H266&gt;($D$3+6%)</formula>
    </cfRule>
  </conditionalFormatting>
  <conditionalFormatting sqref="H266:H267">
    <cfRule type="expression" dxfId="2" priority="7">
      <formula>H266&lt;($D$3-3%)</formula>
    </cfRule>
  </conditionalFormatting>
  <conditionalFormatting sqref="H266:H267">
    <cfRule type="expression" dxfId="3" priority="8">
      <formula>H266&gt;($D$3+3%)</formula>
    </cfRule>
  </conditionalFormatting>
  <conditionalFormatting sqref="F270">
    <cfRule type="cellIs" dxfId="4" priority="9" operator="greaterThanOrEqual">
      <formula>0</formula>
    </cfRule>
  </conditionalFormatting>
  <conditionalFormatting sqref="F270">
    <cfRule type="cellIs" dxfId="5" priority="10" operator="lessThan">
      <formula>-4100</formula>
    </cfRule>
  </conditionalFormatting>
  <conditionalFormatting sqref="F270">
    <cfRule type="cellIs" dxfId="4" priority="11" operator="greaterThanOrEqual">
      <formula>0</formula>
    </cfRule>
  </conditionalFormatting>
  <conditionalFormatting sqref="F270">
    <cfRule type="cellIs" dxfId="5" priority="12" operator="lessThan">
      <formula>-4100</formula>
    </cfRule>
  </conditionalFormatting>
  <conditionalFormatting sqref="F270">
    <cfRule type="cellIs" dxfId="4" priority="13" operator="greaterThanOrEqual">
      <formula>0</formula>
    </cfRule>
  </conditionalFormatting>
  <conditionalFormatting sqref="F270">
    <cfRule type="cellIs" dxfId="5" priority="14" operator="lessThan">
      <formula>-4100</formula>
    </cfRule>
  </conditionalFormatting>
  <conditionalFormatting sqref="F270">
    <cfRule type="cellIs" dxfId="5" priority="15" operator="lessThan">
      <formula>-4100</formula>
    </cfRule>
  </conditionalFormatting>
  <conditionalFormatting sqref="F270">
    <cfRule type="cellIs" dxfId="4" priority="16" operator="greaterThanOrEqual">
      <formula>0</formula>
    </cfRule>
  </conditionalFormatting>
  <conditionalFormatting sqref="F270">
    <cfRule type="cellIs" dxfId="4" priority="17" operator="greaterThanOrEqual">
      <formula>0</formula>
    </cfRule>
  </conditionalFormatting>
  <conditionalFormatting sqref="F270">
    <cfRule type="cellIs" dxfId="5" priority="18" operator="lessThan">
      <formula>-4100</formula>
    </cfRule>
  </conditionalFormatting>
  <conditionalFormatting sqref="F270">
    <cfRule type="cellIs" dxfId="4" priority="19" operator="greaterThanOrEqual">
      <formula>0</formula>
    </cfRule>
  </conditionalFormatting>
  <conditionalFormatting sqref="F270">
    <cfRule type="cellIs" dxfId="5" priority="20" operator="lessThan">
      <formula>-4100</formula>
    </cfRule>
  </conditionalFormatting>
  <conditionalFormatting sqref="F270">
    <cfRule type="cellIs" dxfId="4" priority="21" operator="greaterThanOrEqual">
      <formula>0</formula>
    </cfRule>
  </conditionalFormatting>
  <conditionalFormatting sqref="F270">
    <cfRule type="cellIs" dxfId="5" priority="22" operator="lessThan">
      <formula>-4100</formula>
    </cfRule>
  </conditionalFormatting>
  <conditionalFormatting sqref="F270">
    <cfRule type="cellIs" dxfId="4" priority="23" operator="greaterThanOrEqual">
      <formula>0</formula>
    </cfRule>
  </conditionalFormatting>
  <conditionalFormatting sqref="F270">
    <cfRule type="cellIs" dxfId="5" priority="24" operator="lessThan">
      <formula>-4100</formula>
    </cfRule>
  </conditionalFormatting>
  <conditionalFormatting sqref="E245 E270">
    <cfRule type="cellIs" dxfId="6" priority="25" operator="greaterThan">
      <formula>0</formula>
    </cfRule>
  </conditionalFormatting>
  <conditionalFormatting sqref="F265">
    <cfRule type="cellIs" dxfId="5" priority="26" operator="lessThan">
      <formula>-4100</formula>
    </cfRule>
  </conditionalFormatting>
  <conditionalFormatting sqref="F265">
    <cfRule type="cellIs" dxfId="4" priority="27" operator="greaterThanOrEqual">
      <formula>0</formula>
    </cfRule>
  </conditionalFormatting>
  <conditionalFormatting sqref="E265">
    <cfRule type="cellIs" dxfId="6" priority="28" operator="greaterThan">
      <formula>0</formula>
    </cfRule>
  </conditionalFormatting>
  <conditionalFormatting sqref="F265">
    <cfRule type="cellIs" dxfId="4" priority="29" operator="greaterThanOrEqual">
      <formula>0</formula>
    </cfRule>
  </conditionalFormatting>
  <conditionalFormatting sqref="F265">
    <cfRule type="cellIs" dxfId="5" priority="30" operator="lessThan">
      <formula>-4100</formula>
    </cfRule>
  </conditionalFormatting>
  <conditionalFormatting sqref="F265">
    <cfRule type="cellIs" dxfId="4" priority="31" operator="greaterThanOrEqual">
      <formula>0</formula>
    </cfRule>
  </conditionalFormatting>
  <conditionalFormatting sqref="F265">
    <cfRule type="cellIs" dxfId="5" priority="32" operator="lessThan">
      <formula>-4100</formula>
    </cfRule>
  </conditionalFormatting>
  <conditionalFormatting sqref="F265">
    <cfRule type="cellIs" dxfId="5" priority="33" operator="lessThan">
      <formula>-4100</formula>
    </cfRule>
  </conditionalFormatting>
  <conditionalFormatting sqref="F265">
    <cfRule type="cellIs" dxfId="4" priority="34" operator="greaterThanOrEqual">
      <formula>0</formula>
    </cfRule>
  </conditionalFormatting>
  <conditionalFormatting sqref="F265">
    <cfRule type="cellIs" dxfId="4" priority="35" operator="greaterThanOrEqual">
      <formula>0</formula>
    </cfRule>
  </conditionalFormatting>
  <conditionalFormatting sqref="F265">
    <cfRule type="cellIs" dxfId="5" priority="36" operator="lessThan">
      <formula>-4100</formula>
    </cfRule>
  </conditionalFormatting>
  <conditionalFormatting sqref="F265">
    <cfRule type="cellIs" dxfId="4" priority="37" operator="greaterThanOrEqual">
      <formula>0</formula>
    </cfRule>
  </conditionalFormatting>
  <conditionalFormatting sqref="F265">
    <cfRule type="cellIs" dxfId="5" priority="38" operator="lessThan">
      <formula>-4100</formula>
    </cfRule>
  </conditionalFormatting>
  <conditionalFormatting sqref="F265">
    <cfRule type="cellIs" dxfId="4" priority="39" operator="greaterThanOrEqual">
      <formula>0</formula>
    </cfRule>
  </conditionalFormatting>
  <conditionalFormatting sqref="F265">
    <cfRule type="cellIs" dxfId="5" priority="40" operator="lessThan">
      <formula>-4100</formula>
    </cfRule>
  </conditionalFormatting>
  <conditionalFormatting sqref="F265">
    <cfRule type="cellIs" dxfId="5" priority="41" operator="lessThan">
      <formula>-4100</formula>
    </cfRule>
  </conditionalFormatting>
  <conditionalFormatting sqref="F265">
    <cfRule type="cellIs" dxfId="4" priority="42" operator="greaterThanOrEqual">
      <formula>0</formula>
    </cfRule>
  </conditionalFormatting>
  <conditionalFormatting sqref="F275">
    <cfRule type="cellIs" dxfId="4" priority="43" operator="greaterThanOrEqual">
      <formula>0</formula>
    </cfRule>
  </conditionalFormatting>
  <conditionalFormatting sqref="F275">
    <cfRule type="cellIs" dxfId="5" priority="44" operator="lessThan">
      <formula>-4100</formula>
    </cfRule>
  </conditionalFormatting>
  <conditionalFormatting sqref="F275">
    <cfRule type="cellIs" dxfId="4" priority="45" operator="greaterThanOrEqual">
      <formula>0</formula>
    </cfRule>
  </conditionalFormatting>
  <conditionalFormatting sqref="F275">
    <cfRule type="cellIs" dxfId="5" priority="46" operator="lessThan">
      <formula>-4100</formula>
    </cfRule>
  </conditionalFormatting>
  <conditionalFormatting sqref="F275">
    <cfRule type="cellIs" dxfId="4" priority="47" operator="greaterThanOrEqual">
      <formula>0</formula>
    </cfRule>
  </conditionalFormatting>
  <conditionalFormatting sqref="F275">
    <cfRule type="cellIs" dxfId="5" priority="48" operator="lessThan">
      <formula>-4100</formula>
    </cfRule>
  </conditionalFormatting>
  <conditionalFormatting sqref="F275">
    <cfRule type="cellIs" dxfId="5" priority="49" operator="lessThan">
      <formula>-4100</formula>
    </cfRule>
  </conditionalFormatting>
  <conditionalFormatting sqref="F275">
    <cfRule type="cellIs" dxfId="4" priority="50" operator="greaterThanOrEqual">
      <formula>0</formula>
    </cfRule>
  </conditionalFormatting>
  <conditionalFormatting sqref="F275">
    <cfRule type="cellIs" dxfId="4" priority="51" operator="greaterThanOrEqual">
      <formula>0</formula>
    </cfRule>
  </conditionalFormatting>
  <conditionalFormatting sqref="F275">
    <cfRule type="cellIs" dxfId="5" priority="52" operator="lessThan">
      <formula>-4100</formula>
    </cfRule>
  </conditionalFormatting>
  <conditionalFormatting sqref="F275">
    <cfRule type="cellIs" dxfId="4" priority="53" operator="greaterThanOrEqual">
      <formula>0</formula>
    </cfRule>
  </conditionalFormatting>
  <conditionalFormatting sqref="F275">
    <cfRule type="cellIs" dxfId="5" priority="54" operator="lessThan">
      <formula>-4100</formula>
    </cfRule>
  </conditionalFormatting>
  <conditionalFormatting sqref="F275">
    <cfRule type="cellIs" dxfId="4" priority="55" operator="greaterThanOrEqual">
      <formula>0</formula>
    </cfRule>
  </conditionalFormatting>
  <conditionalFormatting sqref="F275">
    <cfRule type="cellIs" dxfId="5" priority="56" operator="lessThan">
      <formula>-4100</formula>
    </cfRule>
  </conditionalFormatting>
  <conditionalFormatting sqref="F275">
    <cfRule type="cellIs" dxfId="4" priority="57" operator="greaterThanOrEqual">
      <formula>0</formula>
    </cfRule>
  </conditionalFormatting>
  <conditionalFormatting sqref="F275">
    <cfRule type="cellIs" dxfId="5" priority="58" operator="lessThan">
      <formula>-4100</formula>
    </cfRule>
  </conditionalFormatting>
  <conditionalFormatting sqref="E275">
    <cfRule type="cellIs" dxfId="6" priority="59" operator="greaterThan">
      <formula>0</formula>
    </cfRule>
  </conditionalFormatting>
  <conditionalFormatting sqref="H245">
    <cfRule type="expression" dxfId="0" priority="60">
      <formula>H245&lt;($D$3-6%)</formula>
    </cfRule>
  </conditionalFormatting>
  <conditionalFormatting sqref="H245">
    <cfRule type="expression" dxfId="1" priority="61">
      <formula>H245&gt;($D$3+6%)</formula>
    </cfRule>
  </conditionalFormatting>
  <conditionalFormatting sqref="H245">
    <cfRule type="expression" dxfId="2" priority="62">
      <formula>H245&lt;($D$3-3%)</formula>
    </cfRule>
  </conditionalFormatting>
  <conditionalFormatting sqref="H245">
    <cfRule type="expression" dxfId="3" priority="63">
      <formula>H245&gt;($D$3+3%)</formula>
    </cfRule>
  </conditionalFormatting>
  <conditionalFormatting sqref="H246">
    <cfRule type="expression" dxfId="0" priority="64">
      <formula>H246&lt;($D$3-6%)</formula>
    </cfRule>
  </conditionalFormatting>
  <conditionalFormatting sqref="H246">
    <cfRule type="expression" dxfId="1" priority="65">
      <formula>H246&gt;($D$3+6%)</formula>
    </cfRule>
  </conditionalFormatting>
  <conditionalFormatting sqref="H246">
    <cfRule type="expression" dxfId="2" priority="66">
      <formula>H246&lt;($D$3-3%)</formula>
    </cfRule>
  </conditionalFormatting>
  <conditionalFormatting sqref="H246">
    <cfRule type="expression" dxfId="3" priority="67">
      <formula>H246&gt;($D$3+3%)</formula>
    </cfRule>
  </conditionalFormatting>
  <conditionalFormatting sqref="F250">
    <cfRule type="cellIs" dxfId="5" priority="68" operator="lessThan">
      <formula>-4100</formula>
    </cfRule>
  </conditionalFormatting>
  <conditionalFormatting sqref="F250">
    <cfRule type="cellIs" dxfId="4" priority="69" operator="greaterThanOrEqual">
      <formula>0</formula>
    </cfRule>
  </conditionalFormatting>
  <conditionalFormatting sqref="F250">
    <cfRule type="cellIs" dxfId="4" priority="70" operator="greaterThanOrEqual">
      <formula>0</formula>
    </cfRule>
  </conditionalFormatting>
  <conditionalFormatting sqref="F250">
    <cfRule type="cellIs" dxfId="5" priority="71" operator="lessThan">
      <formula>-4100</formula>
    </cfRule>
  </conditionalFormatting>
  <conditionalFormatting sqref="F250">
    <cfRule type="cellIs" dxfId="4" priority="72" operator="greaterThanOrEqual">
      <formula>0</formula>
    </cfRule>
  </conditionalFormatting>
  <conditionalFormatting sqref="F250">
    <cfRule type="cellIs" dxfId="5" priority="73" operator="lessThan">
      <formula>-4100</formula>
    </cfRule>
  </conditionalFormatting>
  <conditionalFormatting sqref="F250">
    <cfRule type="cellIs" dxfId="4" priority="74" operator="greaterThanOrEqual">
      <formula>0</formula>
    </cfRule>
  </conditionalFormatting>
  <conditionalFormatting sqref="F250">
    <cfRule type="cellIs" dxfId="5" priority="75" operator="lessThan">
      <formula>-4100</formula>
    </cfRule>
  </conditionalFormatting>
  <conditionalFormatting sqref="F250">
    <cfRule type="cellIs" dxfId="4" priority="76" operator="greaterThanOrEqual">
      <formula>0</formula>
    </cfRule>
  </conditionalFormatting>
  <conditionalFormatting sqref="F250">
    <cfRule type="cellIs" dxfId="5" priority="77" operator="lessThan">
      <formula>-4100</formula>
    </cfRule>
  </conditionalFormatting>
  <conditionalFormatting sqref="F250">
    <cfRule type="cellIs" dxfId="5" priority="78" operator="lessThan">
      <formula>-4100</formula>
    </cfRule>
  </conditionalFormatting>
  <conditionalFormatting sqref="F250">
    <cfRule type="cellIs" dxfId="4" priority="79" operator="greaterThanOrEqual">
      <formula>0</formula>
    </cfRule>
  </conditionalFormatting>
  <conditionalFormatting sqref="F250">
    <cfRule type="cellIs" dxfId="4" priority="80" operator="greaterThanOrEqual">
      <formula>0</formula>
    </cfRule>
  </conditionalFormatting>
  <conditionalFormatting sqref="F250">
    <cfRule type="cellIs" dxfId="5" priority="81" operator="lessThan">
      <formula>-4100</formula>
    </cfRule>
  </conditionalFormatting>
  <conditionalFormatting sqref="F250">
    <cfRule type="cellIs" dxfId="4" priority="82" operator="greaterThanOrEqual">
      <formula>0</formula>
    </cfRule>
  </conditionalFormatting>
  <conditionalFormatting sqref="F250">
    <cfRule type="cellIs" dxfId="5" priority="83" operator="lessThan">
      <formula>-4100</formula>
    </cfRule>
  </conditionalFormatting>
  <conditionalFormatting sqref="E250">
    <cfRule type="cellIs" dxfId="6" priority="84" operator="greaterThan">
      <formula>0</formula>
    </cfRule>
  </conditionalFormatting>
  <conditionalFormatting sqref="F521">
    <cfRule type="cellIs" dxfId="4" priority="85" operator="greaterThanOrEqual">
      <formula>0</formula>
    </cfRule>
  </conditionalFormatting>
  <conditionalFormatting sqref="F521">
    <cfRule type="cellIs" dxfId="5" priority="86" operator="lessThan">
      <formula>-4100</formula>
    </cfRule>
  </conditionalFormatting>
  <conditionalFormatting sqref="F521">
    <cfRule type="cellIs" dxfId="4" priority="87" operator="greaterThanOrEqual">
      <formula>0</formula>
    </cfRule>
  </conditionalFormatting>
  <conditionalFormatting sqref="F521">
    <cfRule type="cellIs" dxfId="5" priority="88" operator="lessThan">
      <formula>-4100</formula>
    </cfRule>
  </conditionalFormatting>
  <conditionalFormatting sqref="F521">
    <cfRule type="cellIs" dxfId="4" priority="89" operator="greaterThanOrEqual">
      <formula>0</formula>
    </cfRule>
  </conditionalFormatting>
  <conditionalFormatting sqref="F521">
    <cfRule type="cellIs" dxfId="5" priority="90" operator="lessThan">
      <formula>-4100</formula>
    </cfRule>
  </conditionalFormatting>
  <conditionalFormatting sqref="F521">
    <cfRule type="cellIs" dxfId="4" priority="91" operator="greaterThanOrEqual">
      <formula>0</formula>
    </cfRule>
  </conditionalFormatting>
  <conditionalFormatting sqref="F521">
    <cfRule type="cellIs" dxfId="5" priority="92" operator="lessThan">
      <formula>-4100</formula>
    </cfRule>
  </conditionalFormatting>
  <conditionalFormatting sqref="F521">
    <cfRule type="cellIs" dxfId="4" priority="93" operator="greaterThanOrEqual">
      <formula>0</formula>
    </cfRule>
  </conditionalFormatting>
  <conditionalFormatting sqref="F521">
    <cfRule type="cellIs" dxfId="5" priority="94" operator="lessThan">
      <formula>-4100</formula>
    </cfRule>
  </conditionalFormatting>
  <conditionalFormatting sqref="F521">
    <cfRule type="cellIs" dxfId="4" priority="95" operator="greaterThanOrEqual">
      <formula>0</formula>
    </cfRule>
  </conditionalFormatting>
  <conditionalFormatting sqref="F521">
    <cfRule type="cellIs" dxfId="5" priority="96" operator="lessThan">
      <formula>-4100</formula>
    </cfRule>
  </conditionalFormatting>
  <conditionalFormatting sqref="F521">
    <cfRule type="cellIs" dxfId="4" priority="97" operator="greaterThanOrEqual">
      <formula>0</formula>
    </cfRule>
  </conditionalFormatting>
  <conditionalFormatting sqref="F521">
    <cfRule type="cellIs" dxfId="5" priority="98" operator="lessThan">
      <formula>-4100</formula>
    </cfRule>
  </conditionalFormatting>
  <conditionalFormatting sqref="F521">
    <cfRule type="cellIs" dxfId="4" priority="99" operator="greaterThanOrEqual">
      <formula>0</formula>
    </cfRule>
  </conditionalFormatting>
  <conditionalFormatting sqref="F521">
    <cfRule type="cellIs" dxfId="5" priority="100" operator="lessThan">
      <formula>-4100</formula>
    </cfRule>
  </conditionalFormatting>
  <conditionalFormatting sqref="E521">
    <cfRule type="cellIs" dxfId="6" priority="101" operator="greaterThan">
      <formula>0</formula>
    </cfRule>
  </conditionalFormatting>
  <conditionalFormatting sqref="H517">
    <cfRule type="expression" dxfId="0" priority="102">
      <formula>H517&lt;($D$3-6%)</formula>
    </cfRule>
  </conditionalFormatting>
  <conditionalFormatting sqref="H517">
    <cfRule type="expression" dxfId="1" priority="103">
      <formula>H517&gt;($D$3+6%)</formula>
    </cfRule>
  </conditionalFormatting>
  <conditionalFormatting sqref="H517">
    <cfRule type="expression" dxfId="2" priority="104">
      <formula>H517&lt;($D$3-3%)</formula>
    </cfRule>
  </conditionalFormatting>
  <conditionalFormatting sqref="H517">
    <cfRule type="expression" dxfId="3" priority="105">
      <formula>H517&gt;($D$3+3%)</formula>
    </cfRule>
  </conditionalFormatting>
  <conditionalFormatting sqref="H518">
    <cfRule type="expression" dxfId="0" priority="106">
      <formula>H518&lt;($D$3-6%)</formula>
    </cfRule>
  </conditionalFormatting>
  <conditionalFormatting sqref="H518">
    <cfRule type="expression" dxfId="1" priority="107">
      <formula>H518&gt;($D$3+6%)</formula>
    </cfRule>
  </conditionalFormatting>
  <conditionalFormatting sqref="H518">
    <cfRule type="expression" dxfId="2" priority="108">
      <formula>H518&lt;($D$3-3%)</formula>
    </cfRule>
  </conditionalFormatting>
  <conditionalFormatting sqref="H518">
    <cfRule type="expression" dxfId="3" priority="109">
      <formula>H518&gt;($D$3+3%)</formula>
    </cfRule>
  </conditionalFormatting>
  <conditionalFormatting sqref="H527">
    <cfRule type="expression" dxfId="0" priority="110">
      <formula>H527&lt;($D$3-6%)</formula>
    </cfRule>
  </conditionalFormatting>
  <conditionalFormatting sqref="H527">
    <cfRule type="expression" dxfId="1" priority="111">
      <formula>H527&gt;($D$3+6%)</formula>
    </cfRule>
  </conditionalFormatting>
  <conditionalFormatting sqref="H527">
    <cfRule type="expression" dxfId="2" priority="112">
      <formula>H527&lt;($D$3-3%)</formula>
    </cfRule>
  </conditionalFormatting>
  <conditionalFormatting sqref="H527">
    <cfRule type="expression" dxfId="3" priority="113">
      <formula>H527&gt;($D$3+3%)</formula>
    </cfRule>
  </conditionalFormatting>
  <conditionalFormatting sqref="H528">
    <cfRule type="expression" dxfId="0" priority="114">
      <formula>H528&lt;($D$3-6%)</formula>
    </cfRule>
  </conditionalFormatting>
  <conditionalFormatting sqref="H528">
    <cfRule type="expression" dxfId="1" priority="115">
      <formula>H528&gt;($D$3+6%)</formula>
    </cfRule>
  </conditionalFormatting>
  <conditionalFormatting sqref="H528">
    <cfRule type="expression" dxfId="2" priority="116">
      <formula>H528&lt;($D$3-3%)</formula>
    </cfRule>
  </conditionalFormatting>
  <conditionalFormatting sqref="H528">
    <cfRule type="expression" dxfId="3" priority="117">
      <formula>H528&gt;($D$3+3%)</formula>
    </cfRule>
  </conditionalFormatting>
  <conditionalFormatting sqref="F531">
    <cfRule type="cellIs" dxfId="4" priority="118" operator="greaterThanOrEqual">
      <formula>0</formula>
    </cfRule>
  </conditionalFormatting>
  <conditionalFormatting sqref="F531">
    <cfRule type="cellIs" dxfId="5" priority="119" operator="lessThan">
      <formula>-4100</formula>
    </cfRule>
  </conditionalFormatting>
  <conditionalFormatting sqref="F531">
    <cfRule type="cellIs" dxfId="4" priority="120" operator="greaterThanOrEqual">
      <formula>0</formula>
    </cfRule>
  </conditionalFormatting>
  <conditionalFormatting sqref="F531">
    <cfRule type="cellIs" dxfId="5" priority="121" operator="lessThan">
      <formula>-4100</formula>
    </cfRule>
  </conditionalFormatting>
  <conditionalFormatting sqref="F531">
    <cfRule type="cellIs" dxfId="4" priority="122" operator="greaterThanOrEqual">
      <formula>0</formula>
    </cfRule>
  </conditionalFormatting>
  <conditionalFormatting sqref="F531">
    <cfRule type="cellIs" dxfId="5" priority="123" operator="lessThan">
      <formula>-4100</formula>
    </cfRule>
  </conditionalFormatting>
  <conditionalFormatting sqref="F531">
    <cfRule type="cellIs" dxfId="4" priority="124" operator="greaterThanOrEqual">
      <formula>0</formula>
    </cfRule>
  </conditionalFormatting>
  <conditionalFormatting sqref="F531">
    <cfRule type="cellIs" dxfId="5" priority="125" operator="lessThan">
      <formula>-4100</formula>
    </cfRule>
  </conditionalFormatting>
  <conditionalFormatting sqref="F531">
    <cfRule type="cellIs" dxfId="4" priority="126" operator="greaterThanOrEqual">
      <formula>0</formula>
    </cfRule>
  </conditionalFormatting>
  <conditionalFormatting sqref="F531">
    <cfRule type="cellIs" dxfId="5" priority="127" operator="lessThan">
      <formula>-4100</formula>
    </cfRule>
  </conditionalFormatting>
  <conditionalFormatting sqref="F531">
    <cfRule type="cellIs" dxfId="4" priority="128" operator="greaterThanOrEqual">
      <formula>0</formula>
    </cfRule>
  </conditionalFormatting>
  <conditionalFormatting sqref="F531">
    <cfRule type="cellIs" dxfId="5" priority="129" operator="lessThan">
      <formula>-4100</formula>
    </cfRule>
  </conditionalFormatting>
  <conditionalFormatting sqref="F531">
    <cfRule type="cellIs" dxfId="4" priority="130" operator="greaterThanOrEqual">
      <formula>0</formula>
    </cfRule>
  </conditionalFormatting>
  <conditionalFormatting sqref="F531">
    <cfRule type="cellIs" dxfId="5" priority="131" operator="lessThan">
      <formula>-4100</formula>
    </cfRule>
  </conditionalFormatting>
  <conditionalFormatting sqref="F531">
    <cfRule type="cellIs" dxfId="4" priority="132" operator="greaterThanOrEqual">
      <formula>0</formula>
    </cfRule>
  </conditionalFormatting>
  <conditionalFormatting sqref="F531">
    <cfRule type="cellIs" dxfId="5" priority="133" operator="lessThan">
      <formula>-4100</formula>
    </cfRule>
  </conditionalFormatting>
  <conditionalFormatting sqref="E531">
    <cfRule type="cellIs" dxfId="6" priority="134" operator="greaterThan">
      <formula>0</formula>
    </cfRule>
  </conditionalFormatting>
  <conditionalFormatting sqref="F536">
    <cfRule type="cellIs" dxfId="4" priority="135" operator="greaterThanOrEqual">
      <formula>0</formula>
    </cfRule>
  </conditionalFormatting>
  <conditionalFormatting sqref="F536">
    <cfRule type="cellIs" dxfId="5" priority="136" operator="lessThan">
      <formula>-4100</formula>
    </cfRule>
  </conditionalFormatting>
  <conditionalFormatting sqref="F536">
    <cfRule type="cellIs" dxfId="4" priority="137" operator="greaterThanOrEqual">
      <formula>0</formula>
    </cfRule>
  </conditionalFormatting>
  <conditionalFormatting sqref="F536">
    <cfRule type="cellIs" dxfId="5" priority="138" operator="lessThan">
      <formula>-4100</formula>
    </cfRule>
  </conditionalFormatting>
  <conditionalFormatting sqref="F536">
    <cfRule type="cellIs" dxfId="4" priority="139" operator="greaterThanOrEqual">
      <formula>0</formula>
    </cfRule>
  </conditionalFormatting>
  <conditionalFormatting sqref="F536">
    <cfRule type="cellIs" dxfId="5" priority="140" operator="lessThan">
      <formula>-4100</formula>
    </cfRule>
  </conditionalFormatting>
  <conditionalFormatting sqref="F536">
    <cfRule type="cellIs" dxfId="4" priority="141" operator="greaterThanOrEqual">
      <formula>0</formula>
    </cfRule>
  </conditionalFormatting>
  <conditionalFormatting sqref="F536">
    <cfRule type="cellIs" dxfId="5" priority="142" operator="lessThan">
      <formula>-4100</formula>
    </cfRule>
  </conditionalFormatting>
  <conditionalFormatting sqref="F536">
    <cfRule type="cellIs" dxfId="4" priority="143" operator="greaterThanOrEqual">
      <formula>0</formula>
    </cfRule>
  </conditionalFormatting>
  <conditionalFormatting sqref="F536">
    <cfRule type="cellIs" dxfId="5" priority="144" operator="lessThan">
      <formula>-4100</formula>
    </cfRule>
  </conditionalFormatting>
  <conditionalFormatting sqref="F536">
    <cfRule type="cellIs" dxfId="4" priority="145" operator="greaterThanOrEqual">
      <formula>0</formula>
    </cfRule>
  </conditionalFormatting>
  <conditionalFormatting sqref="F536">
    <cfRule type="cellIs" dxfId="5" priority="146" operator="lessThan">
      <formula>-4100</formula>
    </cfRule>
  </conditionalFormatting>
  <conditionalFormatting sqref="F536">
    <cfRule type="cellIs" dxfId="4" priority="147" operator="greaterThanOrEqual">
      <formula>0</formula>
    </cfRule>
  </conditionalFormatting>
  <conditionalFormatting sqref="F536">
    <cfRule type="cellIs" dxfId="5" priority="148" operator="lessThan">
      <formula>-4100</formula>
    </cfRule>
  </conditionalFormatting>
  <conditionalFormatting sqref="F536">
    <cfRule type="cellIs" dxfId="4" priority="149" operator="greaterThanOrEqual">
      <formula>0</formula>
    </cfRule>
  </conditionalFormatting>
  <conditionalFormatting sqref="F536">
    <cfRule type="cellIs" dxfId="5" priority="150" operator="lessThan">
      <formula>-4100</formula>
    </cfRule>
  </conditionalFormatting>
  <conditionalFormatting sqref="E536">
    <cfRule type="cellIs" dxfId="6" priority="151" operator="greaterThan">
      <formula>0</formula>
    </cfRule>
  </conditionalFormatting>
  <conditionalFormatting sqref="H316:H317">
    <cfRule type="expression" dxfId="0" priority="152">
      <formula>H316&lt;($D$3-6%)</formula>
    </cfRule>
  </conditionalFormatting>
  <conditionalFormatting sqref="H316:H317">
    <cfRule type="expression" dxfId="1" priority="153">
      <formula>H316&gt;($D$3+6%)</formula>
    </cfRule>
  </conditionalFormatting>
  <conditionalFormatting sqref="H316:H317">
    <cfRule type="expression" dxfId="2" priority="154">
      <formula>H316&lt;($D$3-3%)</formula>
    </cfRule>
  </conditionalFormatting>
  <conditionalFormatting sqref="H316:H317">
    <cfRule type="expression" dxfId="3" priority="155">
      <formula>H316&gt;($D$3+3%)</formula>
    </cfRule>
  </conditionalFormatting>
  <conditionalFormatting sqref="F541">
    <cfRule type="cellIs" dxfId="5" priority="156" operator="lessThan">
      <formula>-4100</formula>
    </cfRule>
  </conditionalFormatting>
  <conditionalFormatting sqref="F541">
    <cfRule type="cellIs" dxfId="4" priority="157" operator="greaterThanOrEqual">
      <formula>0</formula>
    </cfRule>
  </conditionalFormatting>
  <conditionalFormatting sqref="F541">
    <cfRule type="cellIs" dxfId="4" priority="158" operator="greaterThanOrEqual">
      <formula>0</formula>
    </cfRule>
  </conditionalFormatting>
  <conditionalFormatting sqref="F541">
    <cfRule type="cellIs" dxfId="5" priority="159" operator="lessThan">
      <formula>-4100</formula>
    </cfRule>
  </conditionalFormatting>
  <conditionalFormatting sqref="F541">
    <cfRule type="cellIs" dxfId="4" priority="160" operator="greaterThanOrEqual">
      <formula>0</formula>
    </cfRule>
  </conditionalFormatting>
  <conditionalFormatting sqref="F541">
    <cfRule type="cellIs" dxfId="5" priority="161" operator="lessThan">
      <formula>-4100</formula>
    </cfRule>
  </conditionalFormatting>
  <conditionalFormatting sqref="F541">
    <cfRule type="cellIs" dxfId="4" priority="162" operator="greaterThanOrEqual">
      <formula>0</formula>
    </cfRule>
  </conditionalFormatting>
  <conditionalFormatting sqref="F541">
    <cfRule type="cellIs" dxfId="5" priority="163" operator="lessThan">
      <formula>-4100</formula>
    </cfRule>
  </conditionalFormatting>
  <conditionalFormatting sqref="E541">
    <cfRule type="cellIs" dxfId="6" priority="164" operator="greaterThan">
      <formula>0</formula>
    </cfRule>
  </conditionalFormatting>
  <conditionalFormatting sqref="F546">
    <cfRule type="cellIs" dxfId="5" priority="165" operator="lessThan">
      <formula>-4100</formula>
    </cfRule>
  </conditionalFormatting>
  <conditionalFormatting sqref="F546">
    <cfRule type="cellIs" dxfId="4" priority="166" operator="greaterThanOrEqual">
      <formula>0</formula>
    </cfRule>
  </conditionalFormatting>
  <conditionalFormatting sqref="F546">
    <cfRule type="cellIs" dxfId="4" priority="167" operator="greaterThanOrEqual">
      <formula>0</formula>
    </cfRule>
  </conditionalFormatting>
  <conditionalFormatting sqref="F546">
    <cfRule type="cellIs" dxfId="5" priority="168" operator="lessThan">
      <formula>-4100</formula>
    </cfRule>
  </conditionalFormatting>
  <conditionalFormatting sqref="F546">
    <cfRule type="cellIs" dxfId="4" priority="169" operator="greaterThanOrEqual">
      <formula>0</formula>
    </cfRule>
  </conditionalFormatting>
  <conditionalFormatting sqref="F546">
    <cfRule type="cellIs" dxfId="5" priority="170" operator="lessThan">
      <formula>-4100</formula>
    </cfRule>
  </conditionalFormatting>
  <conditionalFormatting sqref="F546">
    <cfRule type="cellIs" dxfId="4" priority="171" operator="greaterThanOrEqual">
      <formula>0</formula>
    </cfRule>
  </conditionalFormatting>
  <conditionalFormatting sqref="F546">
    <cfRule type="cellIs" dxfId="5" priority="172" operator="lessThan">
      <formula>-4100</formula>
    </cfRule>
  </conditionalFormatting>
  <conditionalFormatting sqref="E546">
    <cfRule type="cellIs" dxfId="6" priority="173" operator="greaterThan">
      <formula>0</formula>
    </cfRule>
  </conditionalFormatting>
  <conditionalFormatting sqref="F526">
    <cfRule type="cellIs" dxfId="4" priority="174" operator="greaterThanOrEqual">
      <formula>0</formula>
    </cfRule>
  </conditionalFormatting>
  <conditionalFormatting sqref="F526">
    <cfRule type="cellIs" dxfId="5" priority="175" operator="lessThan">
      <formula>-4100</formula>
    </cfRule>
  </conditionalFormatting>
  <conditionalFormatting sqref="F526">
    <cfRule type="cellIs" dxfId="4" priority="176" operator="greaterThanOrEqual">
      <formula>0</formula>
    </cfRule>
  </conditionalFormatting>
  <conditionalFormatting sqref="F526">
    <cfRule type="cellIs" dxfId="5" priority="177" operator="lessThan">
      <formula>-4100</formula>
    </cfRule>
  </conditionalFormatting>
  <conditionalFormatting sqref="F526">
    <cfRule type="cellIs" dxfId="4" priority="178" operator="greaterThanOrEqual">
      <formula>0</formula>
    </cfRule>
  </conditionalFormatting>
  <conditionalFormatting sqref="F526">
    <cfRule type="cellIs" dxfId="5" priority="179" operator="lessThan">
      <formula>-4100</formula>
    </cfRule>
  </conditionalFormatting>
  <conditionalFormatting sqref="F526">
    <cfRule type="cellIs" dxfId="4" priority="180" operator="greaterThanOrEqual">
      <formula>0</formula>
    </cfRule>
  </conditionalFormatting>
  <conditionalFormatting sqref="F526">
    <cfRule type="cellIs" dxfId="5" priority="181" operator="lessThan">
      <formula>-4100</formula>
    </cfRule>
  </conditionalFormatting>
  <conditionalFormatting sqref="F526">
    <cfRule type="cellIs" dxfId="4" priority="182" operator="greaterThanOrEqual">
      <formula>0</formula>
    </cfRule>
  </conditionalFormatting>
  <conditionalFormatting sqref="F526">
    <cfRule type="cellIs" dxfId="5" priority="183" operator="lessThan">
      <formula>-4100</formula>
    </cfRule>
  </conditionalFormatting>
  <conditionalFormatting sqref="F526">
    <cfRule type="cellIs" dxfId="4" priority="184" operator="greaterThanOrEqual">
      <formula>0</formula>
    </cfRule>
  </conditionalFormatting>
  <conditionalFormatting sqref="F526">
    <cfRule type="cellIs" dxfId="5" priority="185" operator="lessThan">
      <formula>-4100</formula>
    </cfRule>
  </conditionalFormatting>
  <conditionalFormatting sqref="F526">
    <cfRule type="cellIs" dxfId="4" priority="186" operator="greaterThanOrEqual">
      <formula>0</formula>
    </cfRule>
  </conditionalFormatting>
  <conditionalFormatting sqref="F526">
    <cfRule type="cellIs" dxfId="5" priority="187" operator="lessThan">
      <formula>-4100</formula>
    </cfRule>
  </conditionalFormatting>
  <conditionalFormatting sqref="F526">
    <cfRule type="cellIs" dxfId="4" priority="188" operator="greaterThanOrEqual">
      <formula>0</formula>
    </cfRule>
  </conditionalFormatting>
  <conditionalFormatting sqref="F526">
    <cfRule type="cellIs" dxfId="5" priority="189" operator="lessThan">
      <formula>-4100</formula>
    </cfRule>
  </conditionalFormatting>
  <conditionalFormatting sqref="E526">
    <cfRule type="cellIs" dxfId="6" priority="190" operator="greaterThan">
      <formula>0</formula>
    </cfRule>
  </conditionalFormatting>
  <conditionalFormatting sqref="H407">
    <cfRule type="expression" dxfId="0" priority="191">
      <formula>H407&lt;($D$3-6%)</formula>
    </cfRule>
  </conditionalFormatting>
  <conditionalFormatting sqref="H407">
    <cfRule type="expression" dxfId="1" priority="192">
      <formula>H407&gt;($D$3+6%)</formula>
    </cfRule>
  </conditionalFormatting>
  <conditionalFormatting sqref="H407">
    <cfRule type="expression" dxfId="2" priority="193">
      <formula>H407&lt;($D$3-3%)</formula>
    </cfRule>
  </conditionalFormatting>
  <conditionalFormatting sqref="H407">
    <cfRule type="expression" dxfId="3" priority="194">
      <formula>H407&gt;($D$3+3%)</formula>
    </cfRule>
  </conditionalFormatting>
  <conditionalFormatting sqref="F410">
    <cfRule type="cellIs" dxfId="4" priority="195" operator="greaterThanOrEqual">
      <formula>0</formula>
    </cfRule>
  </conditionalFormatting>
  <conditionalFormatting sqref="F410">
    <cfRule type="cellIs" dxfId="5" priority="196" operator="lessThan">
      <formula>-4100</formula>
    </cfRule>
  </conditionalFormatting>
  <conditionalFormatting sqref="F410">
    <cfRule type="cellIs" dxfId="4" priority="197" operator="greaterThanOrEqual">
      <formula>0</formula>
    </cfRule>
  </conditionalFormatting>
  <conditionalFormatting sqref="F410">
    <cfRule type="cellIs" dxfId="5" priority="198" operator="lessThan">
      <formula>-4100</formula>
    </cfRule>
  </conditionalFormatting>
  <conditionalFormatting sqref="F410">
    <cfRule type="cellIs" dxfId="4" priority="199" operator="greaterThanOrEqual">
      <formula>0</formula>
    </cfRule>
  </conditionalFormatting>
  <conditionalFormatting sqref="F410">
    <cfRule type="cellIs" dxfId="5" priority="200" operator="lessThan">
      <formula>-4100</formula>
    </cfRule>
  </conditionalFormatting>
  <conditionalFormatting sqref="F410">
    <cfRule type="cellIs" dxfId="4" priority="201" operator="greaterThanOrEqual">
      <formula>0</formula>
    </cfRule>
  </conditionalFormatting>
  <conditionalFormatting sqref="F410">
    <cfRule type="cellIs" dxfId="5" priority="202" operator="lessThan">
      <formula>-4100</formula>
    </cfRule>
  </conditionalFormatting>
  <conditionalFormatting sqref="F410">
    <cfRule type="cellIs" dxfId="4" priority="203" operator="greaterThanOrEqual">
      <formula>0</formula>
    </cfRule>
  </conditionalFormatting>
  <conditionalFormatting sqref="F410">
    <cfRule type="cellIs" dxfId="5" priority="204" operator="lessThan">
      <formula>-4100</formula>
    </cfRule>
  </conditionalFormatting>
  <conditionalFormatting sqref="F410">
    <cfRule type="cellIs" dxfId="4" priority="205" operator="greaterThanOrEqual">
      <formula>0</formula>
    </cfRule>
  </conditionalFormatting>
  <conditionalFormatting sqref="F410">
    <cfRule type="cellIs" dxfId="5" priority="206" operator="lessThan">
      <formula>-4100</formula>
    </cfRule>
  </conditionalFormatting>
  <conditionalFormatting sqref="F410">
    <cfRule type="cellIs" dxfId="4" priority="207" operator="greaterThanOrEqual">
      <formula>0</formula>
    </cfRule>
  </conditionalFormatting>
  <conditionalFormatting sqref="F410">
    <cfRule type="cellIs" dxfId="5" priority="208" operator="lessThan">
      <formula>-4100</formula>
    </cfRule>
  </conditionalFormatting>
  <conditionalFormatting sqref="F410">
    <cfRule type="cellIs" dxfId="4" priority="209" operator="greaterThanOrEqual">
      <formula>0</formula>
    </cfRule>
  </conditionalFormatting>
  <conditionalFormatting sqref="F410">
    <cfRule type="cellIs" dxfId="5" priority="210" operator="lessThan">
      <formula>-4100</formula>
    </cfRule>
  </conditionalFormatting>
  <conditionalFormatting sqref="E410">
    <cfRule type="cellIs" dxfId="6" priority="211" operator="greaterThan">
      <formula>0</formula>
    </cfRule>
  </conditionalFormatting>
  <conditionalFormatting sqref="F310">
    <cfRule type="cellIs" dxfId="4" priority="212" operator="greaterThanOrEqual">
      <formula>0</formula>
    </cfRule>
  </conditionalFormatting>
  <conditionalFormatting sqref="F310">
    <cfRule type="cellIs" dxfId="5" priority="213" operator="lessThan">
      <formula>-4100</formula>
    </cfRule>
  </conditionalFormatting>
  <conditionalFormatting sqref="F310">
    <cfRule type="cellIs" dxfId="4" priority="214" operator="greaterThanOrEqual">
      <formula>0</formula>
    </cfRule>
  </conditionalFormatting>
  <conditionalFormatting sqref="F310">
    <cfRule type="cellIs" dxfId="5" priority="215" operator="lessThan">
      <formula>-4100</formula>
    </cfRule>
  </conditionalFormatting>
  <conditionalFormatting sqref="F310">
    <cfRule type="cellIs" dxfId="4" priority="216" operator="greaterThanOrEqual">
      <formula>0</formula>
    </cfRule>
  </conditionalFormatting>
  <conditionalFormatting sqref="F310">
    <cfRule type="cellIs" dxfId="5" priority="217" operator="lessThan">
      <formula>-4100</formula>
    </cfRule>
  </conditionalFormatting>
  <conditionalFormatting sqref="F310">
    <cfRule type="cellIs" dxfId="4" priority="218" operator="greaterThanOrEqual">
      <formula>0</formula>
    </cfRule>
  </conditionalFormatting>
  <conditionalFormatting sqref="F310">
    <cfRule type="cellIs" dxfId="5" priority="219" operator="lessThan">
      <formula>-4100</formula>
    </cfRule>
  </conditionalFormatting>
  <conditionalFormatting sqref="E310">
    <cfRule type="cellIs" dxfId="6" priority="220" operator="greaterThan">
      <formula>0</formula>
    </cfRule>
  </conditionalFormatting>
  <conditionalFormatting sqref="F310">
    <cfRule type="cellIs" dxfId="4" priority="221" operator="greaterThanOrEqual">
      <formula>0</formula>
    </cfRule>
  </conditionalFormatting>
  <conditionalFormatting sqref="F310">
    <cfRule type="cellIs" dxfId="5" priority="222" operator="lessThan">
      <formula>-4100</formula>
    </cfRule>
  </conditionalFormatting>
  <conditionalFormatting sqref="F310">
    <cfRule type="cellIs" dxfId="4" priority="223" operator="greaterThanOrEqual">
      <formula>0</formula>
    </cfRule>
  </conditionalFormatting>
  <conditionalFormatting sqref="F310">
    <cfRule type="cellIs" dxfId="5" priority="224" operator="lessThan">
      <formula>-4100</formula>
    </cfRule>
  </conditionalFormatting>
  <conditionalFormatting sqref="F310">
    <cfRule type="cellIs" dxfId="5" priority="225" operator="lessThan">
      <formula>-4100</formula>
    </cfRule>
  </conditionalFormatting>
  <conditionalFormatting sqref="F310">
    <cfRule type="cellIs" dxfId="4" priority="226" operator="greaterThanOrEqual">
      <formula>0</formula>
    </cfRule>
  </conditionalFormatting>
  <conditionalFormatting sqref="F310">
    <cfRule type="cellIs" dxfId="4" priority="227" operator="greaterThanOrEqual">
      <formula>0</formula>
    </cfRule>
  </conditionalFormatting>
  <conditionalFormatting sqref="F310">
    <cfRule type="cellIs" dxfId="5" priority="228" operator="lessThan">
      <formula>-4100</formula>
    </cfRule>
  </conditionalFormatting>
  <conditionalFormatting sqref="H406">
    <cfRule type="expression" dxfId="0" priority="229">
      <formula>H406&lt;($D$3-6%)</formula>
    </cfRule>
  </conditionalFormatting>
  <conditionalFormatting sqref="H406">
    <cfRule type="expression" dxfId="1" priority="230">
      <formula>H406&gt;($D$3+6%)</formula>
    </cfRule>
  </conditionalFormatting>
  <conditionalFormatting sqref="H406">
    <cfRule type="expression" dxfId="2" priority="231">
      <formula>H406&lt;($D$3-3%)</formula>
    </cfRule>
  </conditionalFormatting>
  <conditionalFormatting sqref="H406">
    <cfRule type="expression" dxfId="3" priority="232">
      <formula>H406&gt;($D$3+3%)</formula>
    </cfRule>
  </conditionalFormatting>
  <conditionalFormatting sqref="F315">
    <cfRule type="cellIs" dxfId="5" priority="233" operator="lessThan">
      <formula>-4100</formula>
    </cfRule>
  </conditionalFormatting>
  <conditionalFormatting sqref="F315">
    <cfRule type="cellIs" dxfId="4" priority="234" operator="greaterThanOrEqual">
      <formula>0</formula>
    </cfRule>
  </conditionalFormatting>
  <conditionalFormatting sqref="F315">
    <cfRule type="cellIs" dxfId="4" priority="235" operator="greaterThanOrEqual">
      <formula>0</formula>
    </cfRule>
  </conditionalFormatting>
  <conditionalFormatting sqref="F315">
    <cfRule type="cellIs" dxfId="5" priority="236" operator="lessThan">
      <formula>-4100</formula>
    </cfRule>
  </conditionalFormatting>
  <conditionalFormatting sqref="F315">
    <cfRule type="cellIs" dxfId="4" priority="237" operator="greaterThanOrEqual">
      <formula>0</formula>
    </cfRule>
  </conditionalFormatting>
  <conditionalFormatting sqref="F315">
    <cfRule type="cellIs" dxfId="5" priority="238" operator="lessThan">
      <formula>-4100</formula>
    </cfRule>
  </conditionalFormatting>
  <conditionalFormatting sqref="F315">
    <cfRule type="cellIs" dxfId="4" priority="239" operator="greaterThanOrEqual">
      <formula>0</formula>
    </cfRule>
  </conditionalFormatting>
  <conditionalFormatting sqref="F315">
    <cfRule type="cellIs" dxfId="5" priority="240" operator="lessThan">
      <formula>-4100</formula>
    </cfRule>
  </conditionalFormatting>
  <conditionalFormatting sqref="F315">
    <cfRule type="cellIs" dxfId="4" priority="241" operator="greaterThanOrEqual">
      <formula>0</formula>
    </cfRule>
  </conditionalFormatting>
  <conditionalFormatting sqref="F315">
    <cfRule type="cellIs" dxfId="5" priority="242" operator="lessThan">
      <formula>-4100</formula>
    </cfRule>
  </conditionalFormatting>
  <conditionalFormatting sqref="E315">
    <cfRule type="cellIs" dxfId="6" priority="243" operator="greaterThan">
      <formula>0</formula>
    </cfRule>
  </conditionalFormatting>
  <conditionalFormatting sqref="F315">
    <cfRule type="cellIs" dxfId="4" priority="244" operator="greaterThanOrEqual">
      <formula>0</formula>
    </cfRule>
  </conditionalFormatting>
  <conditionalFormatting sqref="F315">
    <cfRule type="cellIs" dxfId="5" priority="245" operator="lessThan">
      <formula>-4100</formula>
    </cfRule>
  </conditionalFormatting>
  <conditionalFormatting sqref="F315">
    <cfRule type="cellIs" dxfId="4" priority="246" operator="greaterThanOrEqual">
      <formula>0</formula>
    </cfRule>
  </conditionalFormatting>
  <conditionalFormatting sqref="F315">
    <cfRule type="cellIs" dxfId="5" priority="247" operator="lessThan">
      <formula>-4100</formula>
    </cfRule>
  </conditionalFormatting>
  <conditionalFormatting sqref="F315">
    <cfRule type="cellIs" dxfId="4" priority="248" operator="greaterThanOrEqual">
      <formula>0</formula>
    </cfRule>
  </conditionalFormatting>
  <conditionalFormatting sqref="F315">
    <cfRule type="cellIs" dxfId="5" priority="249" operator="lessThan">
      <formula>-4100</formula>
    </cfRule>
  </conditionalFormatting>
  <conditionalFormatting sqref="F515">
    <cfRule type="cellIs" dxfId="4" priority="250" operator="greaterThanOrEqual">
      <formula>0</formula>
    </cfRule>
  </conditionalFormatting>
  <conditionalFormatting sqref="F515">
    <cfRule type="cellIs" dxfId="5" priority="251" operator="lessThan">
      <formula>-4100</formula>
    </cfRule>
  </conditionalFormatting>
  <conditionalFormatting sqref="F515">
    <cfRule type="cellIs" dxfId="4" priority="252" operator="greaterThanOrEqual">
      <formula>0</formula>
    </cfRule>
  </conditionalFormatting>
  <conditionalFormatting sqref="F515">
    <cfRule type="cellIs" dxfId="5" priority="253" operator="lessThan">
      <formula>-4100</formula>
    </cfRule>
  </conditionalFormatting>
  <conditionalFormatting sqref="F515">
    <cfRule type="cellIs" dxfId="4" priority="254" operator="greaterThanOrEqual">
      <formula>0</formula>
    </cfRule>
  </conditionalFormatting>
  <conditionalFormatting sqref="F515">
    <cfRule type="cellIs" dxfId="5" priority="255" operator="lessThan">
      <formula>-4100</formula>
    </cfRule>
  </conditionalFormatting>
  <conditionalFormatting sqref="F515">
    <cfRule type="cellIs" dxfId="4" priority="256" operator="greaterThanOrEqual">
      <formula>0</formula>
    </cfRule>
  </conditionalFormatting>
  <conditionalFormatting sqref="F515">
    <cfRule type="cellIs" dxfId="5" priority="257" operator="lessThan">
      <formula>-4100</formula>
    </cfRule>
  </conditionalFormatting>
  <conditionalFormatting sqref="F515">
    <cfRule type="cellIs" dxfId="4" priority="258" operator="greaterThanOrEqual">
      <formula>0</formula>
    </cfRule>
  </conditionalFormatting>
  <conditionalFormatting sqref="F515">
    <cfRule type="cellIs" dxfId="5" priority="259" operator="lessThan">
      <formula>-4100</formula>
    </cfRule>
  </conditionalFormatting>
  <conditionalFormatting sqref="F515">
    <cfRule type="cellIs" dxfId="4" priority="260" operator="greaterThanOrEqual">
      <formula>0</formula>
    </cfRule>
  </conditionalFormatting>
  <conditionalFormatting sqref="F515">
    <cfRule type="cellIs" dxfId="5" priority="261" operator="lessThan">
      <formula>-4100</formula>
    </cfRule>
  </conditionalFormatting>
  <conditionalFormatting sqref="F515">
    <cfRule type="cellIs" dxfId="4" priority="262" operator="greaterThanOrEqual">
      <formula>0</formula>
    </cfRule>
  </conditionalFormatting>
  <conditionalFormatting sqref="F515">
    <cfRule type="cellIs" dxfId="5" priority="263" operator="lessThan">
      <formula>-4100</formula>
    </cfRule>
  </conditionalFormatting>
  <conditionalFormatting sqref="F515">
    <cfRule type="cellIs" dxfId="4" priority="264" operator="greaterThanOrEqual">
      <formula>0</formula>
    </cfRule>
  </conditionalFormatting>
  <conditionalFormatting sqref="F515">
    <cfRule type="cellIs" dxfId="5" priority="265" operator="lessThan">
      <formula>-4100</formula>
    </cfRule>
  </conditionalFormatting>
  <conditionalFormatting sqref="E515">
    <cfRule type="cellIs" dxfId="6" priority="266" operator="greaterThan">
      <formula>0</formula>
    </cfRule>
  </conditionalFormatting>
  <conditionalFormatting sqref="H145">
    <cfRule type="expression" dxfId="0" priority="267">
      <formula>H145&lt;($D$3-6%)</formula>
    </cfRule>
  </conditionalFormatting>
  <conditionalFormatting sqref="H145">
    <cfRule type="expression" dxfId="1" priority="268">
      <formula>H145&gt;($D$3+6%)</formula>
    </cfRule>
  </conditionalFormatting>
  <conditionalFormatting sqref="H145">
    <cfRule type="expression" dxfId="2" priority="269">
      <formula>H145&lt;($D$3-3%)</formula>
    </cfRule>
  </conditionalFormatting>
  <conditionalFormatting sqref="H145">
    <cfRule type="expression" dxfId="3" priority="270">
      <formula>H145&gt;($D$3+3%)</formula>
    </cfRule>
  </conditionalFormatting>
  <conditionalFormatting sqref="H146">
    <cfRule type="expression" dxfId="0" priority="271">
      <formula>H146&lt;($D$3-6%)</formula>
    </cfRule>
  </conditionalFormatting>
  <conditionalFormatting sqref="H146">
    <cfRule type="expression" dxfId="1" priority="272">
      <formula>H146&gt;($D$3+6%)</formula>
    </cfRule>
  </conditionalFormatting>
  <conditionalFormatting sqref="H146">
    <cfRule type="expression" dxfId="2" priority="273">
      <formula>H146&lt;($D$3-3%)</formula>
    </cfRule>
  </conditionalFormatting>
  <conditionalFormatting sqref="H146">
    <cfRule type="expression" dxfId="3" priority="274">
      <formula>H146&gt;($D$3+3%)</formula>
    </cfRule>
  </conditionalFormatting>
  <conditionalFormatting sqref="F465">
    <cfRule type="cellIs" dxfId="4" priority="275" operator="greaterThanOrEqual">
      <formula>0</formula>
    </cfRule>
  </conditionalFormatting>
  <conditionalFormatting sqref="F465">
    <cfRule type="cellIs" dxfId="5" priority="276" operator="lessThan">
      <formula>-4100</formula>
    </cfRule>
  </conditionalFormatting>
  <conditionalFormatting sqref="F465">
    <cfRule type="cellIs" dxfId="4" priority="277" operator="greaterThanOrEqual">
      <formula>0</formula>
    </cfRule>
  </conditionalFormatting>
  <conditionalFormatting sqref="F465">
    <cfRule type="cellIs" dxfId="5" priority="278" operator="lessThan">
      <formula>-4100</formula>
    </cfRule>
  </conditionalFormatting>
  <conditionalFormatting sqref="F465">
    <cfRule type="cellIs" dxfId="4" priority="279" operator="greaterThanOrEqual">
      <formula>0</formula>
    </cfRule>
  </conditionalFormatting>
  <conditionalFormatting sqref="F465">
    <cfRule type="cellIs" dxfId="5" priority="280" operator="lessThan">
      <formula>-4100</formula>
    </cfRule>
  </conditionalFormatting>
  <conditionalFormatting sqref="F465">
    <cfRule type="cellIs" dxfId="4" priority="281" operator="greaterThanOrEqual">
      <formula>0</formula>
    </cfRule>
  </conditionalFormatting>
  <conditionalFormatting sqref="F465">
    <cfRule type="cellIs" dxfId="5" priority="282" operator="lessThan">
      <formula>-4100</formula>
    </cfRule>
  </conditionalFormatting>
  <conditionalFormatting sqref="E465">
    <cfRule type="cellIs" dxfId="6" priority="283" operator="greaterThan">
      <formula>0</formula>
    </cfRule>
  </conditionalFormatting>
  <conditionalFormatting sqref="F465">
    <cfRule type="cellIs" dxfId="4" priority="284" operator="greaterThanOrEqual">
      <formula>0</formula>
    </cfRule>
  </conditionalFormatting>
  <conditionalFormatting sqref="F465">
    <cfRule type="cellIs" dxfId="5" priority="285" operator="lessThan">
      <formula>-4100</formula>
    </cfRule>
  </conditionalFormatting>
  <conditionalFormatting sqref="F465">
    <cfRule type="cellIs" dxfId="4" priority="286" operator="greaterThanOrEqual">
      <formula>0</formula>
    </cfRule>
  </conditionalFormatting>
  <conditionalFormatting sqref="F465">
    <cfRule type="cellIs" dxfId="5" priority="287" operator="lessThan">
      <formula>-4100</formula>
    </cfRule>
  </conditionalFormatting>
  <conditionalFormatting sqref="F465">
    <cfRule type="cellIs" dxfId="4" priority="288" operator="greaterThanOrEqual">
      <formula>0</formula>
    </cfRule>
  </conditionalFormatting>
  <conditionalFormatting sqref="F465">
    <cfRule type="cellIs" dxfId="5" priority="289" operator="lessThan">
      <formula>-4100</formula>
    </cfRule>
  </conditionalFormatting>
  <conditionalFormatting sqref="F465">
    <cfRule type="cellIs" dxfId="4" priority="290" operator="greaterThanOrEqual">
      <formula>0</formula>
    </cfRule>
  </conditionalFormatting>
  <conditionalFormatting sqref="F465">
    <cfRule type="cellIs" dxfId="5" priority="291" operator="lessThan">
      <formula>-4100</formula>
    </cfRule>
  </conditionalFormatting>
  <conditionalFormatting sqref="F480">
    <cfRule type="cellIs" dxfId="4" priority="292" operator="greaterThanOrEqual">
      <formula>0</formula>
    </cfRule>
  </conditionalFormatting>
  <conditionalFormatting sqref="F480">
    <cfRule type="cellIs" dxfId="5" priority="293" operator="lessThan">
      <formula>-4100</formula>
    </cfRule>
  </conditionalFormatting>
  <conditionalFormatting sqref="F480">
    <cfRule type="cellIs" dxfId="4" priority="294" operator="greaterThanOrEqual">
      <formula>0</formula>
    </cfRule>
  </conditionalFormatting>
  <conditionalFormatting sqref="F480">
    <cfRule type="cellIs" dxfId="5" priority="295" operator="lessThan">
      <formula>-4100</formula>
    </cfRule>
  </conditionalFormatting>
  <conditionalFormatting sqref="F480">
    <cfRule type="cellIs" dxfId="4" priority="296" operator="greaterThanOrEqual">
      <formula>0</formula>
    </cfRule>
  </conditionalFormatting>
  <conditionalFormatting sqref="F480">
    <cfRule type="cellIs" dxfId="5" priority="297" operator="lessThan">
      <formula>-4100</formula>
    </cfRule>
  </conditionalFormatting>
  <conditionalFormatting sqref="F480">
    <cfRule type="cellIs" dxfId="4" priority="298" operator="greaterThanOrEqual">
      <formula>0</formula>
    </cfRule>
  </conditionalFormatting>
  <conditionalFormatting sqref="F480">
    <cfRule type="cellIs" dxfId="5" priority="299" operator="lessThan">
      <formula>-4100</formula>
    </cfRule>
  </conditionalFormatting>
  <conditionalFormatting sqref="F480">
    <cfRule type="cellIs" dxfId="4" priority="300" operator="greaterThanOrEqual">
      <formula>0</formula>
    </cfRule>
  </conditionalFormatting>
  <conditionalFormatting sqref="F480">
    <cfRule type="cellIs" dxfId="5" priority="301" operator="lessThan">
      <formula>-4100</formula>
    </cfRule>
  </conditionalFormatting>
  <conditionalFormatting sqref="F480">
    <cfRule type="cellIs" dxfId="4" priority="302" operator="greaterThanOrEqual">
      <formula>0</formula>
    </cfRule>
  </conditionalFormatting>
  <conditionalFormatting sqref="F480">
    <cfRule type="cellIs" dxfId="5" priority="303" operator="lessThan">
      <formula>-4100</formula>
    </cfRule>
  </conditionalFormatting>
  <conditionalFormatting sqref="F480">
    <cfRule type="cellIs" dxfId="4" priority="304" operator="greaterThanOrEqual">
      <formula>0</formula>
    </cfRule>
  </conditionalFormatting>
  <conditionalFormatting sqref="F480">
    <cfRule type="cellIs" dxfId="5" priority="305" operator="lessThan">
      <formula>-4100</formula>
    </cfRule>
  </conditionalFormatting>
  <conditionalFormatting sqref="F480">
    <cfRule type="cellIs" dxfId="4" priority="306" operator="greaterThanOrEqual">
      <formula>0</formula>
    </cfRule>
  </conditionalFormatting>
  <conditionalFormatting sqref="F480">
    <cfRule type="cellIs" dxfId="5" priority="307" operator="lessThan">
      <formula>-4100</formula>
    </cfRule>
  </conditionalFormatting>
  <conditionalFormatting sqref="E480">
    <cfRule type="cellIs" dxfId="6" priority="308" operator="greaterThan">
      <formula>0</formula>
    </cfRule>
  </conditionalFormatting>
  <conditionalFormatting sqref="F475">
    <cfRule type="cellIs" dxfId="4" priority="309" operator="greaterThanOrEqual">
      <formula>0</formula>
    </cfRule>
  </conditionalFormatting>
  <conditionalFormatting sqref="F475">
    <cfRule type="cellIs" dxfId="5" priority="310" operator="lessThan">
      <formula>-4100</formula>
    </cfRule>
  </conditionalFormatting>
  <conditionalFormatting sqref="F475">
    <cfRule type="cellIs" dxfId="4" priority="311" operator="greaterThanOrEqual">
      <formula>0</formula>
    </cfRule>
  </conditionalFormatting>
  <conditionalFormatting sqref="F475">
    <cfRule type="cellIs" dxfId="5" priority="312" operator="lessThan">
      <formula>-4100</formula>
    </cfRule>
  </conditionalFormatting>
  <conditionalFormatting sqref="F475">
    <cfRule type="cellIs" dxfId="4" priority="313" operator="greaterThanOrEqual">
      <formula>0</formula>
    </cfRule>
  </conditionalFormatting>
  <conditionalFormatting sqref="F475">
    <cfRule type="cellIs" dxfId="5" priority="314" operator="lessThan">
      <formula>-4100</formula>
    </cfRule>
  </conditionalFormatting>
  <conditionalFormatting sqref="F475">
    <cfRule type="cellIs" dxfId="4" priority="315" operator="greaterThanOrEqual">
      <formula>0</formula>
    </cfRule>
  </conditionalFormatting>
  <conditionalFormatting sqref="F475">
    <cfRule type="cellIs" dxfId="5" priority="316" operator="lessThan">
      <formula>-4100</formula>
    </cfRule>
  </conditionalFormatting>
  <conditionalFormatting sqref="F475">
    <cfRule type="cellIs" dxfId="4" priority="317" operator="greaterThanOrEqual">
      <formula>0</formula>
    </cfRule>
  </conditionalFormatting>
  <conditionalFormatting sqref="F475">
    <cfRule type="cellIs" dxfId="5" priority="318" operator="lessThan">
      <formula>-4100</formula>
    </cfRule>
  </conditionalFormatting>
  <conditionalFormatting sqref="F475">
    <cfRule type="cellIs" dxfId="4" priority="319" operator="greaterThanOrEqual">
      <formula>0</formula>
    </cfRule>
  </conditionalFormatting>
  <conditionalFormatting sqref="F475">
    <cfRule type="cellIs" dxfId="5" priority="320" operator="lessThan">
      <formula>-4100</formula>
    </cfRule>
  </conditionalFormatting>
  <conditionalFormatting sqref="F475">
    <cfRule type="cellIs" dxfId="4" priority="321" operator="greaterThanOrEqual">
      <formula>0</formula>
    </cfRule>
  </conditionalFormatting>
  <conditionalFormatting sqref="F475">
    <cfRule type="cellIs" dxfId="5" priority="322" operator="lessThan">
      <formula>-4100</formula>
    </cfRule>
  </conditionalFormatting>
  <conditionalFormatting sqref="F475">
    <cfRule type="cellIs" dxfId="4" priority="323" operator="greaterThanOrEqual">
      <formula>0</formula>
    </cfRule>
  </conditionalFormatting>
  <conditionalFormatting sqref="F475">
    <cfRule type="cellIs" dxfId="5" priority="324" operator="lessThan">
      <formula>-4100</formula>
    </cfRule>
  </conditionalFormatting>
  <conditionalFormatting sqref="E475">
    <cfRule type="cellIs" dxfId="6" priority="325" operator="greaterThan">
      <formula>0</formula>
    </cfRule>
  </conditionalFormatting>
  <conditionalFormatting sqref="F460">
    <cfRule type="cellIs" dxfId="4" priority="326" operator="greaterThanOrEqual">
      <formula>0</formula>
    </cfRule>
  </conditionalFormatting>
  <conditionalFormatting sqref="F460">
    <cfRule type="cellIs" dxfId="5" priority="327" operator="lessThan">
      <formula>-4100</formula>
    </cfRule>
  </conditionalFormatting>
  <conditionalFormatting sqref="F460">
    <cfRule type="cellIs" dxfId="4" priority="328" operator="greaterThanOrEqual">
      <formula>0</formula>
    </cfRule>
  </conditionalFormatting>
  <conditionalFormatting sqref="F460">
    <cfRule type="cellIs" dxfId="5" priority="329" operator="lessThan">
      <formula>-4100</formula>
    </cfRule>
  </conditionalFormatting>
  <conditionalFormatting sqref="F460">
    <cfRule type="cellIs" dxfId="4" priority="330" operator="greaterThanOrEqual">
      <formula>0</formula>
    </cfRule>
  </conditionalFormatting>
  <conditionalFormatting sqref="F460">
    <cfRule type="cellIs" dxfId="5" priority="331" operator="lessThan">
      <formula>-4100</formula>
    </cfRule>
  </conditionalFormatting>
  <conditionalFormatting sqref="F460">
    <cfRule type="cellIs" dxfId="4" priority="332" operator="greaterThanOrEqual">
      <formula>0</formula>
    </cfRule>
  </conditionalFormatting>
  <conditionalFormatting sqref="F460">
    <cfRule type="cellIs" dxfId="5" priority="333" operator="lessThan">
      <formula>-4100</formula>
    </cfRule>
  </conditionalFormatting>
  <conditionalFormatting sqref="F460">
    <cfRule type="cellIs" dxfId="4" priority="334" operator="greaterThanOrEqual">
      <formula>0</formula>
    </cfRule>
  </conditionalFormatting>
  <conditionalFormatting sqref="F460">
    <cfRule type="cellIs" dxfId="5" priority="335" operator="lessThan">
      <formula>-4100</formula>
    </cfRule>
  </conditionalFormatting>
  <conditionalFormatting sqref="F460">
    <cfRule type="cellIs" dxfId="4" priority="336" operator="greaterThanOrEqual">
      <formula>0</formula>
    </cfRule>
  </conditionalFormatting>
  <conditionalFormatting sqref="F460">
    <cfRule type="cellIs" dxfId="5" priority="337" operator="lessThan">
      <formula>-4100</formula>
    </cfRule>
  </conditionalFormatting>
  <conditionalFormatting sqref="F460">
    <cfRule type="cellIs" dxfId="4" priority="338" operator="greaterThanOrEqual">
      <formula>0</formula>
    </cfRule>
  </conditionalFormatting>
  <conditionalFormatting sqref="F460">
    <cfRule type="cellIs" dxfId="5" priority="339" operator="lessThan">
      <formula>-4100</formula>
    </cfRule>
  </conditionalFormatting>
  <conditionalFormatting sqref="F460">
    <cfRule type="cellIs" dxfId="4" priority="340" operator="greaterThanOrEqual">
      <formula>0</formula>
    </cfRule>
  </conditionalFormatting>
  <conditionalFormatting sqref="F460">
    <cfRule type="cellIs" dxfId="5" priority="341" operator="lessThan">
      <formula>-4100</formula>
    </cfRule>
  </conditionalFormatting>
  <conditionalFormatting sqref="E460">
    <cfRule type="cellIs" dxfId="6" priority="342" operator="greaterThan">
      <formula>0</formula>
    </cfRule>
  </conditionalFormatting>
  <conditionalFormatting sqref="F470">
    <cfRule type="cellIs" dxfId="4" priority="343" operator="greaterThanOrEqual">
      <formula>0</formula>
    </cfRule>
  </conditionalFormatting>
  <conditionalFormatting sqref="F470">
    <cfRule type="cellIs" dxfId="5" priority="344" operator="lessThan">
      <formula>-4100</formula>
    </cfRule>
  </conditionalFormatting>
  <conditionalFormatting sqref="F470">
    <cfRule type="cellIs" dxfId="4" priority="345" operator="greaterThanOrEqual">
      <formula>0</formula>
    </cfRule>
  </conditionalFormatting>
  <conditionalFormatting sqref="F470">
    <cfRule type="cellIs" dxfId="5" priority="346" operator="lessThan">
      <formula>-4100</formula>
    </cfRule>
  </conditionalFormatting>
  <conditionalFormatting sqref="F470">
    <cfRule type="cellIs" dxfId="4" priority="347" operator="greaterThanOrEqual">
      <formula>0</formula>
    </cfRule>
  </conditionalFormatting>
  <conditionalFormatting sqref="F470">
    <cfRule type="cellIs" dxfId="5" priority="348" operator="lessThan">
      <formula>-4100</formula>
    </cfRule>
  </conditionalFormatting>
  <conditionalFormatting sqref="F470">
    <cfRule type="cellIs" dxfId="4" priority="349" operator="greaterThanOrEqual">
      <formula>0</formula>
    </cfRule>
  </conditionalFormatting>
  <conditionalFormatting sqref="F470">
    <cfRule type="cellIs" dxfId="5" priority="350" operator="lessThan">
      <formula>-4100</formula>
    </cfRule>
  </conditionalFormatting>
  <conditionalFormatting sqref="F470">
    <cfRule type="cellIs" dxfId="4" priority="351" operator="greaterThanOrEqual">
      <formula>0</formula>
    </cfRule>
  </conditionalFormatting>
  <conditionalFormatting sqref="F470">
    <cfRule type="cellIs" dxfId="5" priority="352" operator="lessThan">
      <formula>-4100</formula>
    </cfRule>
  </conditionalFormatting>
  <conditionalFormatting sqref="F470">
    <cfRule type="cellIs" dxfId="4" priority="353" operator="greaterThanOrEqual">
      <formula>0</formula>
    </cfRule>
  </conditionalFormatting>
  <conditionalFormatting sqref="F470">
    <cfRule type="cellIs" dxfId="5" priority="354" operator="lessThan">
      <formula>-4100</formula>
    </cfRule>
  </conditionalFormatting>
  <conditionalFormatting sqref="F470">
    <cfRule type="cellIs" dxfId="4" priority="355" operator="greaterThanOrEqual">
      <formula>0</formula>
    </cfRule>
  </conditionalFormatting>
  <conditionalFormatting sqref="F470">
    <cfRule type="cellIs" dxfId="5" priority="356" operator="lessThan">
      <formula>-4100</formula>
    </cfRule>
  </conditionalFormatting>
  <conditionalFormatting sqref="F470">
    <cfRule type="cellIs" dxfId="4" priority="357" operator="greaterThanOrEqual">
      <formula>0</formula>
    </cfRule>
  </conditionalFormatting>
  <conditionalFormatting sqref="F470">
    <cfRule type="cellIs" dxfId="5" priority="358" operator="lessThan">
      <formula>-4100</formula>
    </cfRule>
  </conditionalFormatting>
  <conditionalFormatting sqref="E470">
    <cfRule type="cellIs" dxfId="6" priority="359" operator="greaterThan">
      <formula>0</formula>
    </cfRule>
  </conditionalFormatting>
  <conditionalFormatting sqref="F485">
    <cfRule type="cellIs" dxfId="4" priority="360" operator="greaterThanOrEqual">
      <formula>0</formula>
    </cfRule>
  </conditionalFormatting>
  <conditionalFormatting sqref="F485">
    <cfRule type="cellIs" dxfId="5" priority="361" operator="lessThan">
      <formula>-4100</formula>
    </cfRule>
  </conditionalFormatting>
  <conditionalFormatting sqref="F485">
    <cfRule type="cellIs" dxfId="4" priority="362" operator="greaterThanOrEqual">
      <formula>0</formula>
    </cfRule>
  </conditionalFormatting>
  <conditionalFormatting sqref="F485">
    <cfRule type="cellIs" dxfId="5" priority="363" operator="lessThan">
      <formula>-4100</formula>
    </cfRule>
  </conditionalFormatting>
  <conditionalFormatting sqref="F485">
    <cfRule type="cellIs" dxfId="4" priority="364" operator="greaterThanOrEqual">
      <formula>0</formula>
    </cfRule>
  </conditionalFormatting>
  <conditionalFormatting sqref="F485">
    <cfRule type="cellIs" dxfId="5" priority="365" operator="lessThan">
      <formula>-4100</formula>
    </cfRule>
  </conditionalFormatting>
  <conditionalFormatting sqref="E485">
    <cfRule type="cellIs" dxfId="6" priority="366" operator="greaterThan">
      <formula>0</formula>
    </cfRule>
  </conditionalFormatting>
  <conditionalFormatting sqref="F485">
    <cfRule type="cellIs" dxfId="4" priority="367" operator="greaterThanOrEqual">
      <formula>0</formula>
    </cfRule>
  </conditionalFormatting>
  <conditionalFormatting sqref="F485">
    <cfRule type="cellIs" dxfId="5" priority="368" operator="lessThan">
      <formula>-4100</formula>
    </cfRule>
  </conditionalFormatting>
  <conditionalFormatting sqref="F485">
    <cfRule type="cellIs" dxfId="4" priority="369" operator="greaterThanOrEqual">
      <formula>0</formula>
    </cfRule>
  </conditionalFormatting>
  <conditionalFormatting sqref="F485">
    <cfRule type="cellIs" dxfId="5" priority="370" operator="lessThan">
      <formula>-4100</formula>
    </cfRule>
  </conditionalFormatting>
  <conditionalFormatting sqref="F485">
    <cfRule type="cellIs" dxfId="4" priority="371" operator="greaterThanOrEqual">
      <formula>0</formula>
    </cfRule>
  </conditionalFormatting>
  <conditionalFormatting sqref="F485">
    <cfRule type="cellIs" dxfId="5" priority="372" operator="lessThan">
      <formula>-4100</formula>
    </cfRule>
  </conditionalFormatting>
  <conditionalFormatting sqref="F485">
    <cfRule type="cellIs" dxfId="4" priority="373" operator="greaterThanOrEqual">
      <formula>0</formula>
    </cfRule>
  </conditionalFormatting>
  <conditionalFormatting sqref="F485">
    <cfRule type="cellIs" dxfId="5" priority="374" operator="lessThan">
      <formula>-4100</formula>
    </cfRule>
  </conditionalFormatting>
  <conditionalFormatting sqref="F485">
    <cfRule type="cellIs" dxfId="4" priority="375" operator="greaterThanOrEqual">
      <formula>0</formula>
    </cfRule>
  </conditionalFormatting>
  <conditionalFormatting sqref="F485">
    <cfRule type="cellIs" dxfId="5" priority="376" operator="lessThan">
      <formula>-4100</formula>
    </cfRule>
  </conditionalFormatting>
  <conditionalFormatting sqref="F305">
    <cfRule type="cellIs" dxfId="5" priority="377" operator="lessThan">
      <formula>-4100</formula>
    </cfRule>
  </conditionalFormatting>
  <conditionalFormatting sqref="F305">
    <cfRule type="cellIs" dxfId="4" priority="378" operator="greaterThanOrEqual">
      <formula>0</formula>
    </cfRule>
  </conditionalFormatting>
  <conditionalFormatting sqref="F305">
    <cfRule type="cellIs" dxfId="4" priority="379" operator="greaterThanOrEqual">
      <formula>0</formula>
    </cfRule>
  </conditionalFormatting>
  <conditionalFormatting sqref="F305">
    <cfRule type="cellIs" dxfId="5" priority="380" operator="lessThan">
      <formula>-4100</formula>
    </cfRule>
  </conditionalFormatting>
  <conditionalFormatting sqref="F305">
    <cfRule type="cellIs" dxfId="4" priority="381" operator="greaterThanOrEqual">
      <formula>0</formula>
    </cfRule>
  </conditionalFormatting>
  <conditionalFormatting sqref="F305">
    <cfRule type="cellIs" dxfId="5" priority="382" operator="lessThan">
      <formula>-4100</formula>
    </cfRule>
  </conditionalFormatting>
  <conditionalFormatting sqref="F305">
    <cfRule type="cellIs" dxfId="4" priority="383" operator="greaterThanOrEqual">
      <formula>0</formula>
    </cfRule>
  </conditionalFormatting>
  <conditionalFormatting sqref="F305">
    <cfRule type="cellIs" dxfId="5" priority="384" operator="lessThan">
      <formula>-4100</formula>
    </cfRule>
  </conditionalFormatting>
  <conditionalFormatting sqref="F305">
    <cfRule type="cellIs" dxfId="4" priority="385" operator="greaterThanOrEqual">
      <formula>0</formula>
    </cfRule>
  </conditionalFormatting>
  <conditionalFormatting sqref="F305">
    <cfRule type="cellIs" dxfId="5" priority="386" operator="lessThan">
      <formula>-4100</formula>
    </cfRule>
  </conditionalFormatting>
  <conditionalFormatting sqref="E305">
    <cfRule type="cellIs" dxfId="6" priority="387" operator="greaterThan">
      <formula>0</formula>
    </cfRule>
  </conditionalFormatting>
  <conditionalFormatting sqref="F305">
    <cfRule type="cellIs" dxfId="4" priority="388" operator="greaterThanOrEqual">
      <formula>0</formula>
    </cfRule>
  </conditionalFormatting>
  <conditionalFormatting sqref="F305">
    <cfRule type="cellIs" dxfId="5" priority="389" operator="lessThan">
      <formula>-4100</formula>
    </cfRule>
  </conditionalFormatting>
  <conditionalFormatting sqref="F305">
    <cfRule type="cellIs" dxfId="4" priority="390" operator="greaterThanOrEqual">
      <formula>0</formula>
    </cfRule>
  </conditionalFormatting>
  <conditionalFormatting sqref="F305">
    <cfRule type="cellIs" dxfId="5" priority="391" operator="lessThan">
      <formula>-4100</formula>
    </cfRule>
  </conditionalFormatting>
  <conditionalFormatting sqref="F305">
    <cfRule type="cellIs" dxfId="4" priority="392" operator="greaterThanOrEqual">
      <formula>0</formula>
    </cfRule>
  </conditionalFormatting>
  <conditionalFormatting sqref="F305">
    <cfRule type="cellIs" dxfId="5" priority="393" operator="lessThan">
      <formula>-4100</formula>
    </cfRule>
  </conditionalFormatting>
  <conditionalFormatting sqref="F300">
    <cfRule type="cellIs" dxfId="5" priority="394" operator="lessThan">
      <formula>-4100</formula>
    </cfRule>
  </conditionalFormatting>
  <conditionalFormatting sqref="F300">
    <cfRule type="cellIs" dxfId="4" priority="395" operator="greaterThanOrEqual">
      <formula>0</formula>
    </cfRule>
  </conditionalFormatting>
  <conditionalFormatting sqref="F300">
    <cfRule type="cellIs" dxfId="4" priority="396" operator="greaterThanOrEqual">
      <formula>0</formula>
    </cfRule>
  </conditionalFormatting>
  <conditionalFormatting sqref="F300">
    <cfRule type="cellIs" dxfId="5" priority="397" operator="lessThan">
      <formula>-4100</formula>
    </cfRule>
  </conditionalFormatting>
  <conditionalFormatting sqref="F300">
    <cfRule type="cellIs" dxfId="4" priority="398" operator="greaterThanOrEqual">
      <formula>0</formula>
    </cfRule>
  </conditionalFormatting>
  <conditionalFormatting sqref="F300">
    <cfRule type="cellIs" dxfId="5" priority="399" operator="lessThan">
      <formula>-4100</formula>
    </cfRule>
  </conditionalFormatting>
  <conditionalFormatting sqref="F300">
    <cfRule type="cellIs" dxfId="4" priority="400" operator="greaterThanOrEqual">
      <formula>0</formula>
    </cfRule>
  </conditionalFormatting>
  <conditionalFormatting sqref="F300">
    <cfRule type="cellIs" dxfId="5" priority="401" operator="lessThan">
      <formula>-4100</formula>
    </cfRule>
  </conditionalFormatting>
  <conditionalFormatting sqref="F300">
    <cfRule type="cellIs" dxfId="4" priority="402" operator="greaterThanOrEqual">
      <formula>0</formula>
    </cfRule>
  </conditionalFormatting>
  <conditionalFormatting sqref="F300">
    <cfRule type="cellIs" dxfId="5" priority="403" operator="lessThan">
      <formula>-4100</formula>
    </cfRule>
  </conditionalFormatting>
  <conditionalFormatting sqref="E300">
    <cfRule type="cellIs" dxfId="6" priority="404" operator="greaterThan">
      <formula>0</formula>
    </cfRule>
  </conditionalFormatting>
  <conditionalFormatting sqref="F300">
    <cfRule type="cellIs" dxfId="4" priority="405" operator="greaterThanOrEqual">
      <formula>0</formula>
    </cfRule>
  </conditionalFormatting>
  <conditionalFormatting sqref="F300">
    <cfRule type="cellIs" dxfId="5" priority="406" operator="lessThan">
      <formula>-4100</formula>
    </cfRule>
  </conditionalFormatting>
  <conditionalFormatting sqref="F300">
    <cfRule type="cellIs" dxfId="4" priority="407" operator="greaterThanOrEqual">
      <formula>0</formula>
    </cfRule>
  </conditionalFormatting>
  <conditionalFormatting sqref="F300">
    <cfRule type="cellIs" dxfId="5" priority="408" operator="lessThan">
      <formula>-4100</formula>
    </cfRule>
  </conditionalFormatting>
  <conditionalFormatting sqref="F300">
    <cfRule type="cellIs" dxfId="4" priority="409" operator="greaterThanOrEqual">
      <formula>0</formula>
    </cfRule>
  </conditionalFormatting>
  <conditionalFormatting sqref="F300">
    <cfRule type="cellIs" dxfId="5" priority="410" operator="lessThan">
      <formula>-4100</formula>
    </cfRule>
  </conditionalFormatting>
  <conditionalFormatting sqref="F295">
    <cfRule type="cellIs" dxfId="5" priority="411" operator="lessThan">
      <formula>-4100</formula>
    </cfRule>
  </conditionalFormatting>
  <conditionalFormatting sqref="F295">
    <cfRule type="cellIs" dxfId="4" priority="412" operator="greaterThanOrEqual">
      <formula>0</formula>
    </cfRule>
  </conditionalFormatting>
  <conditionalFormatting sqref="F295">
    <cfRule type="cellIs" dxfId="4" priority="413" operator="greaterThanOrEqual">
      <formula>0</formula>
    </cfRule>
  </conditionalFormatting>
  <conditionalFormatting sqref="F295">
    <cfRule type="cellIs" dxfId="5" priority="414" operator="lessThan">
      <formula>-4100</formula>
    </cfRule>
  </conditionalFormatting>
  <conditionalFormatting sqref="F295">
    <cfRule type="cellIs" dxfId="4" priority="415" operator="greaterThanOrEqual">
      <formula>0</formula>
    </cfRule>
  </conditionalFormatting>
  <conditionalFormatting sqref="F295">
    <cfRule type="cellIs" dxfId="5" priority="416" operator="lessThan">
      <formula>-4100</formula>
    </cfRule>
  </conditionalFormatting>
  <conditionalFormatting sqref="F295">
    <cfRule type="cellIs" dxfId="4" priority="417" operator="greaterThanOrEqual">
      <formula>0</formula>
    </cfRule>
  </conditionalFormatting>
  <conditionalFormatting sqref="F295">
    <cfRule type="cellIs" dxfId="5" priority="418" operator="lessThan">
      <formula>-4100</formula>
    </cfRule>
  </conditionalFormatting>
  <conditionalFormatting sqref="F295">
    <cfRule type="cellIs" dxfId="4" priority="419" operator="greaterThanOrEqual">
      <formula>0</formula>
    </cfRule>
  </conditionalFormatting>
  <conditionalFormatting sqref="F295">
    <cfRule type="cellIs" dxfId="5" priority="420" operator="lessThan">
      <formula>-4100</formula>
    </cfRule>
  </conditionalFormatting>
  <conditionalFormatting sqref="E295">
    <cfRule type="cellIs" dxfId="6" priority="421" operator="greaterThan">
      <formula>0</formula>
    </cfRule>
  </conditionalFormatting>
  <conditionalFormatting sqref="F295">
    <cfRule type="cellIs" dxfId="4" priority="422" operator="greaterThanOrEqual">
      <formula>0</formula>
    </cfRule>
  </conditionalFormatting>
  <conditionalFormatting sqref="F295">
    <cfRule type="cellIs" dxfId="5" priority="423" operator="lessThan">
      <formula>-4100</formula>
    </cfRule>
  </conditionalFormatting>
  <conditionalFormatting sqref="F295">
    <cfRule type="cellIs" dxfId="4" priority="424" operator="greaterThanOrEqual">
      <formula>0</formula>
    </cfRule>
  </conditionalFormatting>
  <conditionalFormatting sqref="F295">
    <cfRule type="cellIs" dxfId="5" priority="425" operator="lessThan">
      <formula>-4100</formula>
    </cfRule>
  </conditionalFormatting>
  <conditionalFormatting sqref="F295">
    <cfRule type="cellIs" dxfId="4" priority="426" operator="greaterThanOrEqual">
      <formula>0</formula>
    </cfRule>
  </conditionalFormatting>
  <conditionalFormatting sqref="F295">
    <cfRule type="cellIs" dxfId="5" priority="427" operator="lessThan">
      <formula>-4100</formula>
    </cfRule>
  </conditionalFormatting>
  <conditionalFormatting sqref="F280">
    <cfRule type="cellIs" dxfId="5" priority="428" operator="lessThan">
      <formula>-4100</formula>
    </cfRule>
  </conditionalFormatting>
  <conditionalFormatting sqref="F280">
    <cfRule type="cellIs" dxfId="4" priority="429" operator="greaterThanOrEqual">
      <formula>0</formula>
    </cfRule>
  </conditionalFormatting>
  <conditionalFormatting sqref="F280">
    <cfRule type="cellIs" dxfId="4" priority="430" operator="greaterThanOrEqual">
      <formula>0</formula>
    </cfRule>
  </conditionalFormatting>
  <conditionalFormatting sqref="F280">
    <cfRule type="cellIs" dxfId="5" priority="431" operator="lessThan">
      <formula>-4100</formula>
    </cfRule>
  </conditionalFormatting>
  <conditionalFormatting sqref="F280">
    <cfRule type="cellIs" dxfId="4" priority="432" operator="greaterThanOrEqual">
      <formula>0</formula>
    </cfRule>
  </conditionalFormatting>
  <conditionalFormatting sqref="F280">
    <cfRule type="cellIs" dxfId="5" priority="433" operator="lessThan">
      <formula>-4100</formula>
    </cfRule>
  </conditionalFormatting>
  <conditionalFormatting sqref="F280">
    <cfRule type="cellIs" dxfId="4" priority="434" operator="greaterThanOrEqual">
      <formula>0</formula>
    </cfRule>
  </conditionalFormatting>
  <conditionalFormatting sqref="F280">
    <cfRule type="cellIs" dxfId="5" priority="435" operator="lessThan">
      <formula>-4100</formula>
    </cfRule>
  </conditionalFormatting>
  <conditionalFormatting sqref="F280">
    <cfRule type="cellIs" dxfId="4" priority="436" operator="greaterThanOrEqual">
      <formula>0</formula>
    </cfRule>
  </conditionalFormatting>
  <conditionalFormatting sqref="F280">
    <cfRule type="cellIs" dxfId="5" priority="437" operator="lessThan">
      <formula>-4100</formula>
    </cfRule>
  </conditionalFormatting>
  <conditionalFormatting sqref="E280">
    <cfRule type="cellIs" dxfId="6" priority="438" operator="greaterThan">
      <formula>0</formula>
    </cfRule>
  </conditionalFormatting>
  <conditionalFormatting sqref="F280">
    <cfRule type="cellIs" dxfId="4" priority="439" operator="greaterThanOrEqual">
      <formula>0</formula>
    </cfRule>
  </conditionalFormatting>
  <conditionalFormatting sqref="F280">
    <cfRule type="cellIs" dxfId="5" priority="440" operator="lessThan">
      <formula>-4100</formula>
    </cfRule>
  </conditionalFormatting>
  <conditionalFormatting sqref="F280">
    <cfRule type="cellIs" dxfId="4" priority="441" operator="greaterThanOrEqual">
      <formula>0</formula>
    </cfRule>
  </conditionalFormatting>
  <conditionalFormatting sqref="F280">
    <cfRule type="cellIs" dxfId="5" priority="442" operator="lessThan">
      <formula>-4100</formula>
    </cfRule>
  </conditionalFormatting>
  <conditionalFormatting sqref="F280">
    <cfRule type="cellIs" dxfId="4" priority="443" operator="greaterThanOrEqual">
      <formula>0</formula>
    </cfRule>
  </conditionalFormatting>
  <conditionalFormatting sqref="F280">
    <cfRule type="cellIs" dxfId="5" priority="444" operator="lessThan">
      <formula>-4100</formula>
    </cfRule>
  </conditionalFormatting>
  <conditionalFormatting sqref="E516">
    <cfRule type="cellIs" dxfId="6" priority="445" operator="greaterThan">
      <formula>0</formula>
    </cfRule>
  </conditionalFormatting>
  <conditionalFormatting sqref="H190">
    <cfRule type="expression" dxfId="0" priority="446">
      <formula>H190&lt;($D$3-6%)</formula>
    </cfRule>
  </conditionalFormatting>
  <conditionalFormatting sqref="H190">
    <cfRule type="expression" dxfId="1" priority="447">
      <formula>H190&gt;($D$3+6%)</formula>
    </cfRule>
  </conditionalFormatting>
  <conditionalFormatting sqref="H190">
    <cfRule type="expression" dxfId="2" priority="448">
      <formula>H190&lt;($D$3-3%)</formula>
    </cfRule>
  </conditionalFormatting>
  <conditionalFormatting sqref="H190">
    <cfRule type="expression" dxfId="3" priority="449">
      <formula>H190&gt;($D$3+3%)</formula>
    </cfRule>
  </conditionalFormatting>
  <conditionalFormatting sqref="H191">
    <cfRule type="expression" dxfId="0" priority="450">
      <formula>H191&lt;($D$3-6%)</formula>
    </cfRule>
  </conditionalFormatting>
  <conditionalFormatting sqref="H191">
    <cfRule type="expression" dxfId="1" priority="451">
      <formula>H191&gt;($D$3+6%)</formula>
    </cfRule>
  </conditionalFormatting>
  <conditionalFormatting sqref="H191">
    <cfRule type="expression" dxfId="2" priority="452">
      <formula>H191&lt;($D$3-3%)</formula>
    </cfRule>
  </conditionalFormatting>
  <conditionalFormatting sqref="H191">
    <cfRule type="expression" dxfId="3" priority="453">
      <formula>H191&gt;($D$3+3%)</formula>
    </cfRule>
  </conditionalFormatting>
  <conditionalFormatting sqref="F194">
    <cfRule type="cellIs" dxfId="5" priority="454" operator="lessThan">
      <formula>-4100</formula>
    </cfRule>
  </conditionalFormatting>
  <conditionalFormatting sqref="F194">
    <cfRule type="cellIs" dxfId="4" priority="455" operator="greaterThanOrEqual">
      <formula>0</formula>
    </cfRule>
  </conditionalFormatting>
  <conditionalFormatting sqref="F194">
    <cfRule type="cellIs" dxfId="4" priority="456" operator="greaterThanOrEqual">
      <formula>0</formula>
    </cfRule>
  </conditionalFormatting>
  <conditionalFormatting sqref="F194">
    <cfRule type="cellIs" dxfId="5" priority="457" operator="lessThan">
      <formula>-4100</formula>
    </cfRule>
  </conditionalFormatting>
  <conditionalFormatting sqref="F194">
    <cfRule type="cellIs" dxfId="4" priority="458" operator="greaterThanOrEqual">
      <formula>0</formula>
    </cfRule>
  </conditionalFormatting>
  <conditionalFormatting sqref="F194">
    <cfRule type="cellIs" dxfId="5" priority="459" operator="lessThan">
      <formula>-4100</formula>
    </cfRule>
  </conditionalFormatting>
  <conditionalFormatting sqref="F194">
    <cfRule type="cellIs" dxfId="4" priority="460" operator="greaterThanOrEqual">
      <formula>0</formula>
    </cfRule>
  </conditionalFormatting>
  <conditionalFormatting sqref="F194">
    <cfRule type="cellIs" dxfId="5" priority="461" operator="lessThan">
      <formula>-4100</formula>
    </cfRule>
  </conditionalFormatting>
  <conditionalFormatting sqref="F194">
    <cfRule type="cellIs" dxfId="4" priority="462" operator="greaterThanOrEqual">
      <formula>0</formula>
    </cfRule>
  </conditionalFormatting>
  <conditionalFormatting sqref="F194">
    <cfRule type="cellIs" dxfId="5" priority="463" operator="lessThan">
      <formula>-4100</formula>
    </cfRule>
  </conditionalFormatting>
  <conditionalFormatting sqref="F194">
    <cfRule type="cellIs" dxfId="5" priority="464" operator="lessThan">
      <formula>-4100</formula>
    </cfRule>
  </conditionalFormatting>
  <conditionalFormatting sqref="F194">
    <cfRule type="cellIs" dxfId="4" priority="465" operator="greaterThanOrEqual">
      <formula>0</formula>
    </cfRule>
  </conditionalFormatting>
  <conditionalFormatting sqref="F194">
    <cfRule type="cellIs" dxfId="4" priority="466" operator="greaterThanOrEqual">
      <formula>0</formula>
    </cfRule>
  </conditionalFormatting>
  <conditionalFormatting sqref="F194">
    <cfRule type="cellIs" dxfId="5" priority="467" operator="lessThan">
      <formula>-4100</formula>
    </cfRule>
  </conditionalFormatting>
  <conditionalFormatting sqref="F194">
    <cfRule type="cellIs" dxfId="4" priority="468" operator="greaterThanOrEqual">
      <formula>0</formula>
    </cfRule>
  </conditionalFormatting>
  <conditionalFormatting sqref="F194">
    <cfRule type="cellIs" dxfId="5" priority="469" operator="lessThan">
      <formula>-4100</formula>
    </cfRule>
  </conditionalFormatting>
  <conditionalFormatting sqref="E194">
    <cfRule type="cellIs" dxfId="6" priority="470" operator="greaterThan">
      <formula>0</formula>
    </cfRule>
  </conditionalFormatting>
  <conditionalFormatting sqref="F490">
    <cfRule type="cellIs" dxfId="4" priority="471" operator="greaterThanOrEqual">
      <formula>0</formula>
    </cfRule>
  </conditionalFormatting>
  <conditionalFormatting sqref="F490">
    <cfRule type="cellIs" dxfId="5" priority="472" operator="lessThan">
      <formula>-4100</formula>
    </cfRule>
  </conditionalFormatting>
  <conditionalFormatting sqref="F490">
    <cfRule type="cellIs" dxfId="4" priority="473" operator="greaterThanOrEqual">
      <formula>0</formula>
    </cfRule>
  </conditionalFormatting>
  <conditionalFormatting sqref="F490">
    <cfRule type="cellIs" dxfId="5" priority="474" operator="lessThan">
      <formula>-4100</formula>
    </cfRule>
  </conditionalFormatting>
  <conditionalFormatting sqref="F490">
    <cfRule type="cellIs" dxfId="4" priority="475" operator="greaterThanOrEqual">
      <formula>0</formula>
    </cfRule>
  </conditionalFormatting>
  <conditionalFormatting sqref="F490">
    <cfRule type="cellIs" dxfId="5" priority="476" operator="lessThan">
      <formula>-4100</formula>
    </cfRule>
  </conditionalFormatting>
  <conditionalFormatting sqref="F490">
    <cfRule type="cellIs" dxfId="4" priority="477" operator="greaterThanOrEqual">
      <formula>0</formula>
    </cfRule>
  </conditionalFormatting>
  <conditionalFormatting sqref="F490">
    <cfRule type="cellIs" dxfId="5" priority="478" operator="lessThan">
      <formula>-4100</formula>
    </cfRule>
  </conditionalFormatting>
  <conditionalFormatting sqref="F490">
    <cfRule type="cellIs" dxfId="4" priority="479" operator="greaterThanOrEqual">
      <formula>0</formula>
    </cfRule>
  </conditionalFormatting>
  <conditionalFormatting sqref="F490">
    <cfRule type="cellIs" dxfId="5" priority="480" operator="lessThan">
      <formula>-4100</formula>
    </cfRule>
  </conditionalFormatting>
  <conditionalFormatting sqref="F490">
    <cfRule type="cellIs" dxfId="4" priority="481" operator="greaterThanOrEqual">
      <formula>0</formula>
    </cfRule>
  </conditionalFormatting>
  <conditionalFormatting sqref="F490">
    <cfRule type="cellIs" dxfId="5" priority="482" operator="lessThan">
      <formula>-4100</formula>
    </cfRule>
  </conditionalFormatting>
  <conditionalFormatting sqref="F490">
    <cfRule type="cellIs" dxfId="4" priority="483" operator="greaterThanOrEqual">
      <formula>0</formula>
    </cfRule>
  </conditionalFormatting>
  <conditionalFormatting sqref="F490">
    <cfRule type="cellIs" dxfId="5" priority="484" operator="lessThan">
      <formula>-4100</formula>
    </cfRule>
  </conditionalFormatting>
  <conditionalFormatting sqref="F490">
    <cfRule type="cellIs" dxfId="4" priority="485" operator="greaterThanOrEqual">
      <formula>0</formula>
    </cfRule>
  </conditionalFormatting>
  <conditionalFormatting sqref="F490">
    <cfRule type="cellIs" dxfId="5" priority="486" operator="lessThan">
      <formula>-4100</formula>
    </cfRule>
  </conditionalFormatting>
  <conditionalFormatting sqref="E490">
    <cfRule type="cellIs" dxfId="6" priority="487" operator="greaterThan">
      <formula>0</formula>
    </cfRule>
  </conditionalFormatting>
  <conditionalFormatting sqref="F495">
    <cfRule type="cellIs" dxfId="4" priority="488" operator="greaterThanOrEqual">
      <formula>0</formula>
    </cfRule>
  </conditionalFormatting>
  <conditionalFormatting sqref="F495">
    <cfRule type="cellIs" dxfId="5" priority="489" operator="lessThan">
      <formula>-4100</formula>
    </cfRule>
  </conditionalFormatting>
  <conditionalFormatting sqref="F495">
    <cfRule type="cellIs" dxfId="4" priority="490" operator="greaterThanOrEqual">
      <formula>0</formula>
    </cfRule>
  </conditionalFormatting>
  <conditionalFormatting sqref="F495">
    <cfRule type="cellIs" dxfId="5" priority="491" operator="lessThan">
      <formula>-4100</formula>
    </cfRule>
  </conditionalFormatting>
  <conditionalFormatting sqref="F495">
    <cfRule type="cellIs" dxfId="4" priority="492" operator="greaterThanOrEqual">
      <formula>0</formula>
    </cfRule>
  </conditionalFormatting>
  <conditionalFormatting sqref="F495">
    <cfRule type="cellIs" dxfId="5" priority="493" operator="lessThan">
      <formula>-4100</formula>
    </cfRule>
  </conditionalFormatting>
  <conditionalFormatting sqref="F495">
    <cfRule type="cellIs" dxfId="4" priority="494" operator="greaterThanOrEqual">
      <formula>0</formula>
    </cfRule>
  </conditionalFormatting>
  <conditionalFormatting sqref="F495">
    <cfRule type="cellIs" dxfId="5" priority="495" operator="lessThan">
      <formula>-4100</formula>
    </cfRule>
  </conditionalFormatting>
  <conditionalFormatting sqref="F495">
    <cfRule type="cellIs" dxfId="4" priority="496" operator="greaterThanOrEqual">
      <formula>0</formula>
    </cfRule>
  </conditionalFormatting>
  <conditionalFormatting sqref="F495">
    <cfRule type="cellIs" dxfId="5" priority="497" operator="lessThan">
      <formula>-4100</formula>
    </cfRule>
  </conditionalFormatting>
  <conditionalFormatting sqref="F495">
    <cfRule type="cellIs" dxfId="4" priority="498" operator="greaterThanOrEqual">
      <formula>0</formula>
    </cfRule>
  </conditionalFormatting>
  <conditionalFormatting sqref="F495">
    <cfRule type="cellIs" dxfId="5" priority="499" operator="lessThan">
      <formula>-4100</formula>
    </cfRule>
  </conditionalFormatting>
  <conditionalFormatting sqref="F495">
    <cfRule type="cellIs" dxfId="4" priority="500" operator="greaterThanOrEqual">
      <formula>0</formula>
    </cfRule>
  </conditionalFormatting>
  <conditionalFormatting sqref="F495">
    <cfRule type="cellIs" dxfId="5" priority="501" operator="lessThan">
      <formula>-4100</formula>
    </cfRule>
  </conditionalFormatting>
  <conditionalFormatting sqref="F495">
    <cfRule type="cellIs" dxfId="4" priority="502" operator="greaterThanOrEqual">
      <formula>0</formula>
    </cfRule>
  </conditionalFormatting>
  <conditionalFormatting sqref="F495">
    <cfRule type="cellIs" dxfId="5" priority="503" operator="lessThan">
      <formula>-4100</formula>
    </cfRule>
  </conditionalFormatting>
  <conditionalFormatting sqref="E495">
    <cfRule type="cellIs" dxfId="6" priority="504" operator="greaterThan">
      <formula>0</formula>
    </cfRule>
  </conditionalFormatting>
  <conditionalFormatting sqref="F500">
    <cfRule type="cellIs" dxfId="4" priority="505" operator="greaterThanOrEqual">
      <formula>0</formula>
    </cfRule>
  </conditionalFormatting>
  <conditionalFormatting sqref="F500">
    <cfRule type="cellIs" dxfId="5" priority="506" operator="lessThan">
      <formula>-4100</formula>
    </cfRule>
  </conditionalFormatting>
  <conditionalFormatting sqref="F500">
    <cfRule type="cellIs" dxfId="4" priority="507" operator="greaterThanOrEqual">
      <formula>0</formula>
    </cfRule>
  </conditionalFormatting>
  <conditionalFormatting sqref="F500">
    <cfRule type="cellIs" dxfId="5" priority="508" operator="lessThan">
      <formula>-4100</formula>
    </cfRule>
  </conditionalFormatting>
  <conditionalFormatting sqref="F500">
    <cfRule type="cellIs" dxfId="4" priority="509" operator="greaterThanOrEqual">
      <formula>0</formula>
    </cfRule>
  </conditionalFormatting>
  <conditionalFormatting sqref="F500">
    <cfRule type="cellIs" dxfId="5" priority="510" operator="lessThan">
      <formula>-4100</formula>
    </cfRule>
  </conditionalFormatting>
  <conditionalFormatting sqref="F500">
    <cfRule type="cellIs" dxfId="4" priority="511" operator="greaterThanOrEqual">
      <formula>0</formula>
    </cfRule>
  </conditionalFormatting>
  <conditionalFormatting sqref="F500">
    <cfRule type="cellIs" dxfId="5" priority="512" operator="lessThan">
      <formula>-4100</formula>
    </cfRule>
  </conditionalFormatting>
  <conditionalFormatting sqref="F500">
    <cfRule type="cellIs" dxfId="4" priority="513" operator="greaterThanOrEqual">
      <formula>0</formula>
    </cfRule>
  </conditionalFormatting>
  <conditionalFormatting sqref="F500">
    <cfRule type="cellIs" dxfId="5" priority="514" operator="lessThan">
      <formula>-4100</formula>
    </cfRule>
  </conditionalFormatting>
  <conditionalFormatting sqref="F500">
    <cfRule type="cellIs" dxfId="4" priority="515" operator="greaterThanOrEqual">
      <formula>0</formula>
    </cfRule>
  </conditionalFormatting>
  <conditionalFormatting sqref="F500">
    <cfRule type="cellIs" dxfId="5" priority="516" operator="lessThan">
      <formula>-4100</formula>
    </cfRule>
  </conditionalFormatting>
  <conditionalFormatting sqref="F500">
    <cfRule type="cellIs" dxfId="4" priority="517" operator="greaterThanOrEqual">
      <formula>0</formula>
    </cfRule>
  </conditionalFormatting>
  <conditionalFormatting sqref="F500">
    <cfRule type="cellIs" dxfId="5" priority="518" operator="lessThan">
      <formula>-4100</formula>
    </cfRule>
  </conditionalFormatting>
  <conditionalFormatting sqref="F500">
    <cfRule type="cellIs" dxfId="4" priority="519" operator="greaterThanOrEqual">
      <formula>0</formula>
    </cfRule>
  </conditionalFormatting>
  <conditionalFormatting sqref="F500">
    <cfRule type="cellIs" dxfId="5" priority="520" operator="lessThan">
      <formula>-4100</formula>
    </cfRule>
  </conditionalFormatting>
  <conditionalFormatting sqref="E500">
    <cfRule type="cellIs" dxfId="6" priority="521" operator="greaterThan">
      <formula>0</formula>
    </cfRule>
  </conditionalFormatting>
  <conditionalFormatting sqref="F505">
    <cfRule type="cellIs" dxfId="4" priority="522" operator="greaterThanOrEqual">
      <formula>0</formula>
    </cfRule>
  </conditionalFormatting>
  <conditionalFormatting sqref="F505">
    <cfRule type="cellIs" dxfId="5" priority="523" operator="lessThan">
      <formula>-4100</formula>
    </cfRule>
  </conditionalFormatting>
  <conditionalFormatting sqref="F505">
    <cfRule type="cellIs" dxfId="4" priority="524" operator="greaterThanOrEqual">
      <formula>0</formula>
    </cfRule>
  </conditionalFormatting>
  <conditionalFormatting sqref="F505">
    <cfRule type="cellIs" dxfId="5" priority="525" operator="lessThan">
      <formula>-4100</formula>
    </cfRule>
  </conditionalFormatting>
  <conditionalFormatting sqref="F505">
    <cfRule type="cellIs" dxfId="4" priority="526" operator="greaterThanOrEqual">
      <formula>0</formula>
    </cfRule>
  </conditionalFormatting>
  <conditionalFormatting sqref="F505">
    <cfRule type="cellIs" dxfId="5" priority="527" operator="lessThan">
      <formula>-4100</formula>
    </cfRule>
  </conditionalFormatting>
  <conditionalFormatting sqref="F505">
    <cfRule type="cellIs" dxfId="4" priority="528" operator="greaterThanOrEqual">
      <formula>0</formula>
    </cfRule>
  </conditionalFormatting>
  <conditionalFormatting sqref="F505">
    <cfRule type="cellIs" dxfId="5" priority="529" operator="lessThan">
      <formula>-4100</formula>
    </cfRule>
  </conditionalFormatting>
  <conditionalFormatting sqref="F505">
    <cfRule type="cellIs" dxfId="4" priority="530" operator="greaterThanOrEqual">
      <formula>0</formula>
    </cfRule>
  </conditionalFormatting>
  <conditionalFormatting sqref="F505">
    <cfRule type="cellIs" dxfId="5" priority="531" operator="lessThan">
      <formula>-4100</formula>
    </cfRule>
  </conditionalFormatting>
  <conditionalFormatting sqref="F505">
    <cfRule type="cellIs" dxfId="4" priority="532" operator="greaterThanOrEqual">
      <formula>0</formula>
    </cfRule>
  </conditionalFormatting>
  <conditionalFormatting sqref="F505">
    <cfRule type="cellIs" dxfId="5" priority="533" operator="lessThan">
      <formula>-4100</formula>
    </cfRule>
  </conditionalFormatting>
  <conditionalFormatting sqref="F505">
    <cfRule type="cellIs" dxfId="4" priority="534" operator="greaterThanOrEqual">
      <formula>0</formula>
    </cfRule>
  </conditionalFormatting>
  <conditionalFormatting sqref="F505">
    <cfRule type="cellIs" dxfId="5" priority="535" operator="lessThan">
      <formula>-4100</formula>
    </cfRule>
  </conditionalFormatting>
  <conditionalFormatting sqref="F505">
    <cfRule type="cellIs" dxfId="4" priority="536" operator="greaterThanOrEqual">
      <formula>0</formula>
    </cfRule>
  </conditionalFormatting>
  <conditionalFormatting sqref="F505">
    <cfRule type="cellIs" dxfId="5" priority="537" operator="lessThan">
      <formula>-4100</formula>
    </cfRule>
  </conditionalFormatting>
  <conditionalFormatting sqref="E505">
    <cfRule type="cellIs" dxfId="6" priority="538" operator="greaterThan">
      <formula>0</formula>
    </cfRule>
  </conditionalFormatting>
  <conditionalFormatting sqref="F510">
    <cfRule type="cellIs" dxfId="4" priority="539" operator="greaterThanOrEqual">
      <formula>0</formula>
    </cfRule>
  </conditionalFormatting>
  <conditionalFormatting sqref="F510">
    <cfRule type="cellIs" dxfId="5" priority="540" operator="lessThan">
      <formula>-4100</formula>
    </cfRule>
  </conditionalFormatting>
  <conditionalFormatting sqref="F510">
    <cfRule type="cellIs" dxfId="4" priority="541" operator="greaterThanOrEqual">
      <formula>0</formula>
    </cfRule>
  </conditionalFormatting>
  <conditionalFormatting sqref="F510">
    <cfRule type="cellIs" dxfId="5" priority="542" operator="lessThan">
      <formula>-4100</formula>
    </cfRule>
  </conditionalFormatting>
  <conditionalFormatting sqref="F510">
    <cfRule type="cellIs" dxfId="4" priority="543" operator="greaterThanOrEqual">
      <formula>0</formula>
    </cfRule>
  </conditionalFormatting>
  <conditionalFormatting sqref="F510">
    <cfRule type="cellIs" dxfId="5" priority="544" operator="lessThan">
      <formula>-4100</formula>
    </cfRule>
  </conditionalFormatting>
  <conditionalFormatting sqref="F510">
    <cfRule type="cellIs" dxfId="4" priority="545" operator="greaterThanOrEqual">
      <formula>0</formula>
    </cfRule>
  </conditionalFormatting>
  <conditionalFormatting sqref="F510">
    <cfRule type="cellIs" dxfId="5" priority="546" operator="lessThan">
      <formula>-4100</formula>
    </cfRule>
  </conditionalFormatting>
  <conditionalFormatting sqref="F510">
    <cfRule type="cellIs" dxfId="4" priority="547" operator="greaterThanOrEqual">
      <formula>0</formula>
    </cfRule>
  </conditionalFormatting>
  <conditionalFormatting sqref="F510">
    <cfRule type="cellIs" dxfId="5" priority="548" operator="lessThan">
      <formula>-4100</formula>
    </cfRule>
  </conditionalFormatting>
  <conditionalFormatting sqref="F510">
    <cfRule type="cellIs" dxfId="4" priority="549" operator="greaterThanOrEqual">
      <formula>0</formula>
    </cfRule>
  </conditionalFormatting>
  <conditionalFormatting sqref="F510">
    <cfRule type="cellIs" dxfId="5" priority="550" operator="lessThan">
      <formula>-4100</formula>
    </cfRule>
  </conditionalFormatting>
  <conditionalFormatting sqref="F510">
    <cfRule type="cellIs" dxfId="4" priority="551" operator="greaterThanOrEqual">
      <formula>0</formula>
    </cfRule>
  </conditionalFormatting>
  <conditionalFormatting sqref="F510">
    <cfRule type="cellIs" dxfId="5" priority="552" operator="lessThan">
      <formula>-4100</formula>
    </cfRule>
  </conditionalFormatting>
  <conditionalFormatting sqref="F510">
    <cfRule type="cellIs" dxfId="4" priority="553" operator="greaterThanOrEqual">
      <formula>0</formula>
    </cfRule>
  </conditionalFormatting>
  <conditionalFormatting sqref="F510">
    <cfRule type="cellIs" dxfId="5" priority="554" operator="lessThan">
      <formula>-4100</formula>
    </cfRule>
  </conditionalFormatting>
  <conditionalFormatting sqref="E510">
    <cfRule type="cellIs" dxfId="6" priority="555" operator="greaterThan">
      <formula>0</formula>
    </cfRule>
  </conditionalFormatting>
  <conditionalFormatting sqref="F415">
    <cfRule type="cellIs" dxfId="4" priority="556" operator="greaterThanOrEqual">
      <formula>0</formula>
    </cfRule>
  </conditionalFormatting>
  <conditionalFormatting sqref="F415">
    <cfRule type="cellIs" dxfId="5" priority="557" operator="lessThan">
      <formula>-4100</formula>
    </cfRule>
  </conditionalFormatting>
  <conditionalFormatting sqref="F415">
    <cfRule type="cellIs" dxfId="4" priority="558" operator="greaterThanOrEqual">
      <formula>0</formula>
    </cfRule>
  </conditionalFormatting>
  <conditionalFormatting sqref="F415">
    <cfRule type="cellIs" dxfId="5" priority="559" operator="lessThan">
      <formula>-4100</formula>
    </cfRule>
  </conditionalFormatting>
  <conditionalFormatting sqref="F415">
    <cfRule type="cellIs" dxfId="4" priority="560" operator="greaterThanOrEqual">
      <formula>0</formula>
    </cfRule>
  </conditionalFormatting>
  <conditionalFormatting sqref="F415">
    <cfRule type="cellIs" dxfId="5" priority="561" operator="lessThan">
      <formula>-4100</formula>
    </cfRule>
  </conditionalFormatting>
  <conditionalFormatting sqref="F415">
    <cfRule type="cellIs" dxfId="4" priority="562" operator="greaterThanOrEqual">
      <formula>0</formula>
    </cfRule>
  </conditionalFormatting>
  <conditionalFormatting sqref="F415">
    <cfRule type="cellIs" dxfId="5" priority="563" operator="lessThan">
      <formula>-4100</formula>
    </cfRule>
  </conditionalFormatting>
  <conditionalFormatting sqref="F415">
    <cfRule type="cellIs" dxfId="4" priority="564" operator="greaterThanOrEqual">
      <formula>0</formula>
    </cfRule>
  </conditionalFormatting>
  <conditionalFormatting sqref="F415">
    <cfRule type="cellIs" dxfId="5" priority="565" operator="lessThan">
      <formula>-4100</formula>
    </cfRule>
  </conditionalFormatting>
  <conditionalFormatting sqref="F415">
    <cfRule type="cellIs" dxfId="4" priority="566" operator="greaterThanOrEqual">
      <formula>0</formula>
    </cfRule>
  </conditionalFormatting>
  <conditionalFormatting sqref="F415">
    <cfRule type="cellIs" dxfId="5" priority="567" operator="lessThan">
      <formula>-4100</formula>
    </cfRule>
  </conditionalFormatting>
  <conditionalFormatting sqref="F415">
    <cfRule type="cellIs" dxfId="4" priority="568" operator="greaterThanOrEqual">
      <formula>0</formula>
    </cfRule>
  </conditionalFormatting>
  <conditionalFormatting sqref="F415">
    <cfRule type="cellIs" dxfId="5" priority="569" operator="lessThan">
      <formula>-4100</formula>
    </cfRule>
  </conditionalFormatting>
  <conditionalFormatting sqref="F415">
    <cfRule type="cellIs" dxfId="4" priority="570" operator="greaterThanOrEqual">
      <formula>0</formula>
    </cfRule>
  </conditionalFormatting>
  <conditionalFormatting sqref="F415">
    <cfRule type="cellIs" dxfId="5" priority="571" operator="lessThan">
      <formula>-4100</formula>
    </cfRule>
  </conditionalFormatting>
  <conditionalFormatting sqref="E415">
    <cfRule type="cellIs" dxfId="6" priority="572" operator="greaterThan">
      <formula>0</formula>
    </cfRule>
  </conditionalFormatting>
  <conditionalFormatting sqref="H70">
    <cfRule type="expression" dxfId="0" priority="573">
      <formula>H70&lt;($D$3-6%)</formula>
    </cfRule>
  </conditionalFormatting>
  <conditionalFormatting sqref="H70">
    <cfRule type="expression" dxfId="1" priority="574">
      <formula>H70&gt;($D$3+6%)</formula>
    </cfRule>
  </conditionalFormatting>
  <conditionalFormatting sqref="H70">
    <cfRule type="expression" dxfId="2" priority="575">
      <formula>H70&lt;($D$3-3%)</formula>
    </cfRule>
  </conditionalFormatting>
  <conditionalFormatting sqref="H70">
    <cfRule type="expression" dxfId="3" priority="576">
      <formula>H70&gt;($D$3+3%)</formula>
    </cfRule>
  </conditionalFormatting>
  <conditionalFormatting sqref="H71">
    <cfRule type="expression" dxfId="0" priority="577">
      <formula>H71&lt;($D$3-6%)</formula>
    </cfRule>
  </conditionalFormatting>
  <conditionalFormatting sqref="H71">
    <cfRule type="expression" dxfId="1" priority="578">
      <formula>H71&gt;($D$3+6%)</formula>
    </cfRule>
  </conditionalFormatting>
  <conditionalFormatting sqref="H71">
    <cfRule type="expression" dxfId="2" priority="579">
      <formula>H71&lt;($D$3-3%)</formula>
    </cfRule>
  </conditionalFormatting>
  <conditionalFormatting sqref="H71">
    <cfRule type="expression" dxfId="3" priority="580">
      <formula>H71&gt;($D$3+3%)</formula>
    </cfRule>
  </conditionalFormatting>
  <conditionalFormatting sqref="F74">
    <cfRule type="cellIs" dxfId="5" priority="581" operator="lessThan">
      <formula>-4100</formula>
    </cfRule>
  </conditionalFormatting>
  <conditionalFormatting sqref="F74">
    <cfRule type="cellIs" dxfId="4" priority="582" operator="greaterThanOrEqual">
      <formula>0</formula>
    </cfRule>
  </conditionalFormatting>
  <conditionalFormatting sqref="F74">
    <cfRule type="cellIs" dxfId="4" priority="583" operator="greaterThanOrEqual">
      <formula>0</formula>
    </cfRule>
  </conditionalFormatting>
  <conditionalFormatting sqref="F74">
    <cfRule type="cellIs" dxfId="5" priority="584" operator="lessThan">
      <formula>-4100</formula>
    </cfRule>
  </conditionalFormatting>
  <conditionalFormatting sqref="F74">
    <cfRule type="cellIs" dxfId="4" priority="585" operator="greaterThanOrEqual">
      <formula>0</formula>
    </cfRule>
  </conditionalFormatting>
  <conditionalFormatting sqref="F74">
    <cfRule type="cellIs" dxfId="5" priority="586" operator="lessThan">
      <formula>-4100</formula>
    </cfRule>
  </conditionalFormatting>
  <conditionalFormatting sqref="F74">
    <cfRule type="cellIs" dxfId="4" priority="587" operator="greaterThanOrEqual">
      <formula>0</formula>
    </cfRule>
  </conditionalFormatting>
  <conditionalFormatting sqref="F74">
    <cfRule type="cellIs" dxfId="5" priority="588" operator="lessThan">
      <formula>-4100</formula>
    </cfRule>
  </conditionalFormatting>
  <conditionalFormatting sqref="F74">
    <cfRule type="cellIs" dxfId="4" priority="589" operator="greaterThanOrEqual">
      <formula>0</formula>
    </cfRule>
  </conditionalFormatting>
  <conditionalFormatting sqref="F74">
    <cfRule type="cellIs" dxfId="5" priority="590" operator="lessThan">
      <formula>-4100</formula>
    </cfRule>
  </conditionalFormatting>
  <conditionalFormatting sqref="F74">
    <cfRule type="cellIs" dxfId="5" priority="591" operator="lessThan">
      <formula>-4100</formula>
    </cfRule>
  </conditionalFormatting>
  <conditionalFormatting sqref="F74">
    <cfRule type="cellIs" dxfId="4" priority="592" operator="greaterThanOrEqual">
      <formula>0</formula>
    </cfRule>
  </conditionalFormatting>
  <conditionalFormatting sqref="F74">
    <cfRule type="cellIs" dxfId="4" priority="593" operator="greaterThanOrEqual">
      <formula>0</formula>
    </cfRule>
  </conditionalFormatting>
  <conditionalFormatting sqref="F74">
    <cfRule type="cellIs" dxfId="5" priority="594" operator="lessThan">
      <formula>-4100</formula>
    </cfRule>
  </conditionalFormatting>
  <conditionalFormatting sqref="F74">
    <cfRule type="cellIs" dxfId="4" priority="595" operator="greaterThanOrEqual">
      <formula>0</formula>
    </cfRule>
  </conditionalFormatting>
  <conditionalFormatting sqref="F74">
    <cfRule type="cellIs" dxfId="5" priority="596" operator="lessThan">
      <formula>-4100</formula>
    </cfRule>
  </conditionalFormatting>
  <conditionalFormatting sqref="E74">
    <cfRule type="cellIs" dxfId="6" priority="597" operator="greaterThan">
      <formula>0</formula>
    </cfRule>
  </conditionalFormatting>
  <conditionalFormatting sqref="F144">
    <cfRule type="cellIs" dxfId="5" priority="598" operator="lessThan">
      <formula>-4100</formula>
    </cfRule>
  </conditionalFormatting>
  <conditionalFormatting sqref="F144">
    <cfRule type="cellIs" dxfId="4" priority="599" operator="greaterThanOrEqual">
      <formula>0</formula>
    </cfRule>
  </conditionalFormatting>
  <conditionalFormatting sqref="F144">
    <cfRule type="cellIs" dxfId="4" priority="600" operator="greaterThanOrEqual">
      <formula>0</formula>
    </cfRule>
  </conditionalFormatting>
  <conditionalFormatting sqref="F144">
    <cfRule type="cellIs" dxfId="5" priority="601" operator="lessThan">
      <formula>-4100</formula>
    </cfRule>
  </conditionalFormatting>
  <conditionalFormatting sqref="F144">
    <cfRule type="cellIs" dxfId="4" priority="602" operator="greaterThanOrEqual">
      <formula>0</formula>
    </cfRule>
  </conditionalFormatting>
  <conditionalFormatting sqref="F144">
    <cfRule type="cellIs" dxfId="5" priority="603" operator="lessThan">
      <formula>-4100</formula>
    </cfRule>
  </conditionalFormatting>
  <conditionalFormatting sqref="F144">
    <cfRule type="cellIs" dxfId="4" priority="604" operator="greaterThanOrEqual">
      <formula>0</formula>
    </cfRule>
  </conditionalFormatting>
  <conditionalFormatting sqref="F144">
    <cfRule type="cellIs" dxfId="5" priority="605" operator="lessThan">
      <formula>-4100</formula>
    </cfRule>
  </conditionalFormatting>
  <conditionalFormatting sqref="F144">
    <cfRule type="cellIs" dxfId="4" priority="606" operator="greaterThanOrEqual">
      <formula>0</formula>
    </cfRule>
  </conditionalFormatting>
  <conditionalFormatting sqref="F144">
    <cfRule type="cellIs" dxfId="5" priority="607" operator="lessThan">
      <formula>-4100</formula>
    </cfRule>
  </conditionalFormatting>
  <conditionalFormatting sqref="F144">
    <cfRule type="cellIs" dxfId="5" priority="608" operator="lessThan">
      <formula>-4100</formula>
    </cfRule>
  </conditionalFormatting>
  <conditionalFormatting sqref="F144">
    <cfRule type="cellIs" dxfId="4" priority="609" operator="greaterThanOrEqual">
      <formula>0</formula>
    </cfRule>
  </conditionalFormatting>
  <conditionalFormatting sqref="F144">
    <cfRule type="cellIs" dxfId="4" priority="610" operator="greaterThanOrEqual">
      <formula>0</formula>
    </cfRule>
  </conditionalFormatting>
  <conditionalFormatting sqref="F144">
    <cfRule type="cellIs" dxfId="5" priority="611" operator="lessThan">
      <formula>-4100</formula>
    </cfRule>
  </conditionalFormatting>
  <conditionalFormatting sqref="F144">
    <cfRule type="cellIs" dxfId="4" priority="612" operator="greaterThanOrEqual">
      <formula>0</formula>
    </cfRule>
  </conditionalFormatting>
  <conditionalFormatting sqref="F144">
    <cfRule type="cellIs" dxfId="5" priority="613" operator="lessThan">
      <formula>-4100</formula>
    </cfRule>
  </conditionalFormatting>
  <conditionalFormatting sqref="E144">
    <cfRule type="cellIs" dxfId="6" priority="614" operator="greaterThan">
      <formula>0</formula>
    </cfRule>
  </conditionalFormatting>
  <conditionalFormatting sqref="F320">
    <cfRule type="cellIs" dxfId="5" priority="615" operator="lessThan">
      <formula>-4100</formula>
    </cfRule>
  </conditionalFormatting>
  <conditionalFormatting sqref="F320">
    <cfRule type="cellIs" dxfId="4" priority="616" operator="greaterThanOrEqual">
      <formula>0</formula>
    </cfRule>
  </conditionalFormatting>
  <conditionalFormatting sqref="F320">
    <cfRule type="cellIs" dxfId="4" priority="617" operator="greaterThanOrEqual">
      <formula>0</formula>
    </cfRule>
  </conditionalFormatting>
  <conditionalFormatting sqref="F320">
    <cfRule type="cellIs" dxfId="5" priority="618" operator="lessThan">
      <formula>-4100</formula>
    </cfRule>
  </conditionalFormatting>
  <conditionalFormatting sqref="F320">
    <cfRule type="cellIs" dxfId="4" priority="619" operator="greaterThanOrEqual">
      <formula>0</formula>
    </cfRule>
  </conditionalFormatting>
  <conditionalFormatting sqref="F320">
    <cfRule type="cellIs" dxfId="5" priority="620" operator="lessThan">
      <formula>-4100</formula>
    </cfRule>
  </conditionalFormatting>
  <conditionalFormatting sqref="F320">
    <cfRule type="cellIs" dxfId="4" priority="621" operator="greaterThanOrEqual">
      <formula>0</formula>
    </cfRule>
  </conditionalFormatting>
  <conditionalFormatting sqref="F320">
    <cfRule type="cellIs" dxfId="5" priority="622" operator="lessThan">
      <formula>-4100</formula>
    </cfRule>
  </conditionalFormatting>
  <conditionalFormatting sqref="E320">
    <cfRule type="cellIs" dxfId="6" priority="623" operator="greaterThan">
      <formula>0</formula>
    </cfRule>
  </conditionalFormatting>
  <conditionalFormatting sqref="H160">
    <cfRule type="expression" dxfId="0" priority="624">
      <formula>H160&lt;($D$3-6%)</formula>
    </cfRule>
  </conditionalFormatting>
  <conditionalFormatting sqref="H160">
    <cfRule type="expression" dxfId="1" priority="625">
      <formula>H160&gt;($D$3+6%)</formula>
    </cfRule>
  </conditionalFormatting>
  <conditionalFormatting sqref="H160">
    <cfRule type="expression" dxfId="2" priority="626">
      <formula>H160&lt;($D$3-3%)</formula>
    </cfRule>
  </conditionalFormatting>
  <conditionalFormatting sqref="H160">
    <cfRule type="expression" dxfId="3" priority="627">
      <formula>H160&gt;($D$3+3%)</formula>
    </cfRule>
  </conditionalFormatting>
  <conditionalFormatting sqref="H161">
    <cfRule type="expression" dxfId="0" priority="628">
      <formula>H161&lt;($D$3-6%)</formula>
    </cfRule>
  </conditionalFormatting>
  <conditionalFormatting sqref="H161">
    <cfRule type="expression" dxfId="1" priority="629">
      <formula>H161&gt;($D$3+6%)</formula>
    </cfRule>
  </conditionalFormatting>
  <conditionalFormatting sqref="H161">
    <cfRule type="expression" dxfId="2" priority="630">
      <formula>H161&lt;($D$3-3%)</formula>
    </cfRule>
  </conditionalFormatting>
  <conditionalFormatting sqref="H161">
    <cfRule type="expression" dxfId="3" priority="631">
      <formula>H161&gt;($D$3+3%)</formula>
    </cfRule>
  </conditionalFormatting>
  <conditionalFormatting sqref="F405">
    <cfRule type="cellIs" dxfId="5" priority="632" operator="lessThan">
      <formula>-4100</formula>
    </cfRule>
  </conditionalFormatting>
  <conditionalFormatting sqref="F405">
    <cfRule type="cellIs" dxfId="4" priority="633" operator="greaterThanOrEqual">
      <formula>0</formula>
    </cfRule>
  </conditionalFormatting>
  <conditionalFormatting sqref="F405">
    <cfRule type="cellIs" dxfId="4" priority="634" operator="greaterThanOrEqual">
      <formula>0</formula>
    </cfRule>
  </conditionalFormatting>
  <conditionalFormatting sqref="F405">
    <cfRule type="cellIs" dxfId="5" priority="635" operator="lessThan">
      <formula>-4100</formula>
    </cfRule>
  </conditionalFormatting>
  <conditionalFormatting sqref="F405">
    <cfRule type="cellIs" dxfId="4" priority="636" operator="greaterThanOrEqual">
      <formula>0</formula>
    </cfRule>
  </conditionalFormatting>
  <conditionalFormatting sqref="F405">
    <cfRule type="cellIs" dxfId="5" priority="637" operator="lessThan">
      <formula>-4100</formula>
    </cfRule>
  </conditionalFormatting>
  <conditionalFormatting sqref="F405">
    <cfRule type="cellIs" dxfId="4" priority="638" operator="greaterThanOrEqual">
      <formula>0</formula>
    </cfRule>
  </conditionalFormatting>
  <conditionalFormatting sqref="F405">
    <cfRule type="cellIs" dxfId="5" priority="639" operator="lessThan">
      <formula>-4100</formula>
    </cfRule>
  </conditionalFormatting>
  <conditionalFormatting sqref="E405">
    <cfRule type="cellIs" dxfId="6" priority="640" operator="greaterThan">
      <formula>0</formula>
    </cfRule>
  </conditionalFormatting>
  <conditionalFormatting sqref="F400">
    <cfRule type="cellIs" dxfId="5" priority="641" operator="lessThan">
      <formula>-4100</formula>
    </cfRule>
  </conditionalFormatting>
  <conditionalFormatting sqref="F400">
    <cfRule type="cellIs" dxfId="4" priority="642" operator="greaterThanOrEqual">
      <formula>0</formula>
    </cfRule>
  </conditionalFormatting>
  <conditionalFormatting sqref="F400">
    <cfRule type="cellIs" dxfId="4" priority="643" operator="greaterThanOrEqual">
      <formula>0</formula>
    </cfRule>
  </conditionalFormatting>
  <conditionalFormatting sqref="F400">
    <cfRule type="cellIs" dxfId="5" priority="644" operator="lessThan">
      <formula>-4100</formula>
    </cfRule>
  </conditionalFormatting>
  <conditionalFormatting sqref="F400">
    <cfRule type="cellIs" dxfId="4" priority="645" operator="greaterThanOrEqual">
      <formula>0</formula>
    </cfRule>
  </conditionalFormatting>
  <conditionalFormatting sqref="F400">
    <cfRule type="cellIs" dxfId="5" priority="646" operator="lessThan">
      <formula>-4100</formula>
    </cfRule>
  </conditionalFormatting>
  <conditionalFormatting sqref="F400">
    <cfRule type="cellIs" dxfId="4" priority="647" operator="greaterThanOrEqual">
      <formula>0</formula>
    </cfRule>
  </conditionalFormatting>
  <conditionalFormatting sqref="F400">
    <cfRule type="cellIs" dxfId="5" priority="648" operator="lessThan">
      <formula>-4100</formula>
    </cfRule>
  </conditionalFormatting>
  <conditionalFormatting sqref="E400">
    <cfRule type="cellIs" dxfId="6" priority="649" operator="greaterThan">
      <formula>0</formula>
    </cfRule>
  </conditionalFormatting>
  <conditionalFormatting sqref="F390">
    <cfRule type="cellIs" dxfId="5" priority="650" operator="lessThan">
      <formula>-4100</formula>
    </cfRule>
  </conditionalFormatting>
  <conditionalFormatting sqref="F390">
    <cfRule type="cellIs" dxfId="4" priority="651" operator="greaterThanOrEqual">
      <formula>0</formula>
    </cfRule>
  </conditionalFormatting>
  <conditionalFormatting sqref="F390">
    <cfRule type="cellIs" dxfId="4" priority="652" operator="greaterThanOrEqual">
      <formula>0</formula>
    </cfRule>
  </conditionalFormatting>
  <conditionalFormatting sqref="F390">
    <cfRule type="cellIs" dxfId="5" priority="653" operator="lessThan">
      <formula>-4100</formula>
    </cfRule>
  </conditionalFormatting>
  <conditionalFormatting sqref="F390">
    <cfRule type="cellIs" dxfId="4" priority="654" operator="greaterThanOrEqual">
      <formula>0</formula>
    </cfRule>
  </conditionalFormatting>
  <conditionalFormatting sqref="F390">
    <cfRule type="cellIs" dxfId="5" priority="655" operator="lessThan">
      <formula>-4100</formula>
    </cfRule>
  </conditionalFormatting>
  <conditionalFormatting sqref="F390">
    <cfRule type="cellIs" dxfId="4" priority="656" operator="greaterThanOrEqual">
      <formula>0</formula>
    </cfRule>
  </conditionalFormatting>
  <conditionalFormatting sqref="F390">
    <cfRule type="cellIs" dxfId="5" priority="657" operator="lessThan">
      <formula>-4100</formula>
    </cfRule>
  </conditionalFormatting>
  <conditionalFormatting sqref="E390">
    <cfRule type="cellIs" dxfId="6" priority="658" operator="greaterThan">
      <formula>0</formula>
    </cfRule>
  </conditionalFormatting>
  <conditionalFormatting sqref="F395">
    <cfRule type="cellIs" dxfId="5" priority="659" operator="lessThan">
      <formula>-4100</formula>
    </cfRule>
  </conditionalFormatting>
  <conditionalFormatting sqref="F395">
    <cfRule type="cellIs" dxfId="4" priority="660" operator="greaterThanOrEqual">
      <formula>0</formula>
    </cfRule>
  </conditionalFormatting>
  <conditionalFormatting sqref="F395">
    <cfRule type="cellIs" dxfId="4" priority="661" operator="greaterThanOrEqual">
      <formula>0</formula>
    </cfRule>
  </conditionalFormatting>
  <conditionalFormatting sqref="F395">
    <cfRule type="cellIs" dxfId="5" priority="662" operator="lessThan">
      <formula>-4100</formula>
    </cfRule>
  </conditionalFormatting>
  <conditionalFormatting sqref="F395">
    <cfRule type="cellIs" dxfId="4" priority="663" operator="greaterThanOrEqual">
      <formula>0</formula>
    </cfRule>
  </conditionalFormatting>
  <conditionalFormatting sqref="F395">
    <cfRule type="cellIs" dxfId="5" priority="664" operator="lessThan">
      <formula>-4100</formula>
    </cfRule>
  </conditionalFormatting>
  <conditionalFormatting sqref="F395">
    <cfRule type="cellIs" dxfId="4" priority="665" operator="greaterThanOrEqual">
      <formula>0</formula>
    </cfRule>
  </conditionalFormatting>
  <conditionalFormatting sqref="F395">
    <cfRule type="cellIs" dxfId="5" priority="666" operator="lessThan">
      <formula>-4100</formula>
    </cfRule>
  </conditionalFormatting>
  <conditionalFormatting sqref="E395">
    <cfRule type="cellIs" dxfId="6" priority="667" operator="greaterThan">
      <formula>0</formula>
    </cfRule>
  </conditionalFormatting>
  <conditionalFormatting sqref="F385">
    <cfRule type="cellIs" dxfId="5" priority="668" operator="lessThan">
      <formula>-4100</formula>
    </cfRule>
  </conditionalFormatting>
  <conditionalFormatting sqref="F385">
    <cfRule type="cellIs" dxfId="4" priority="669" operator="greaterThanOrEqual">
      <formula>0</formula>
    </cfRule>
  </conditionalFormatting>
  <conditionalFormatting sqref="F385">
    <cfRule type="cellIs" dxfId="4" priority="670" operator="greaterThanOrEqual">
      <formula>0</formula>
    </cfRule>
  </conditionalFormatting>
  <conditionalFormatting sqref="F385">
    <cfRule type="cellIs" dxfId="5" priority="671" operator="lessThan">
      <formula>-4100</formula>
    </cfRule>
  </conditionalFormatting>
  <conditionalFormatting sqref="F385">
    <cfRule type="cellIs" dxfId="4" priority="672" operator="greaterThanOrEqual">
      <formula>0</formula>
    </cfRule>
  </conditionalFormatting>
  <conditionalFormatting sqref="F385">
    <cfRule type="cellIs" dxfId="5" priority="673" operator="lessThan">
      <formula>-4100</formula>
    </cfRule>
  </conditionalFormatting>
  <conditionalFormatting sqref="F385">
    <cfRule type="cellIs" dxfId="4" priority="674" operator="greaterThanOrEqual">
      <formula>0</formula>
    </cfRule>
  </conditionalFormatting>
  <conditionalFormatting sqref="F385">
    <cfRule type="cellIs" dxfId="5" priority="675" operator="lessThan">
      <formula>-4100</formula>
    </cfRule>
  </conditionalFormatting>
  <conditionalFormatting sqref="E385">
    <cfRule type="cellIs" dxfId="6" priority="676" operator="greaterThan">
      <formula>0</formula>
    </cfRule>
  </conditionalFormatting>
  <conditionalFormatting sqref="F255">
    <cfRule type="cellIs" dxfId="5" priority="677" operator="lessThan">
      <formula>-4100</formula>
    </cfRule>
  </conditionalFormatting>
  <conditionalFormatting sqref="F255">
    <cfRule type="cellIs" dxfId="4" priority="678" operator="greaterThanOrEqual">
      <formula>0</formula>
    </cfRule>
  </conditionalFormatting>
  <conditionalFormatting sqref="F255">
    <cfRule type="cellIs" dxfId="4" priority="679" operator="greaterThanOrEqual">
      <formula>0</formula>
    </cfRule>
  </conditionalFormatting>
  <conditionalFormatting sqref="F255">
    <cfRule type="cellIs" dxfId="5" priority="680" operator="lessThan">
      <formula>-4100</formula>
    </cfRule>
  </conditionalFormatting>
  <conditionalFormatting sqref="F255">
    <cfRule type="cellIs" dxfId="4" priority="681" operator="greaterThanOrEqual">
      <formula>0</formula>
    </cfRule>
  </conditionalFormatting>
  <conditionalFormatting sqref="F255">
    <cfRule type="cellIs" dxfId="5" priority="682" operator="lessThan">
      <formula>-4100</formula>
    </cfRule>
  </conditionalFormatting>
  <conditionalFormatting sqref="F255">
    <cfRule type="cellIs" dxfId="4" priority="683" operator="greaterThanOrEqual">
      <formula>0</formula>
    </cfRule>
  </conditionalFormatting>
  <conditionalFormatting sqref="F255">
    <cfRule type="cellIs" dxfId="5" priority="684" operator="lessThan">
      <formula>-4100</formula>
    </cfRule>
  </conditionalFormatting>
  <conditionalFormatting sqref="F255">
    <cfRule type="cellIs" dxfId="4" priority="685" operator="greaterThanOrEqual">
      <formula>0</formula>
    </cfRule>
  </conditionalFormatting>
  <conditionalFormatting sqref="F255">
    <cfRule type="cellIs" dxfId="5" priority="686" operator="lessThan">
      <formula>-4100</formula>
    </cfRule>
  </conditionalFormatting>
  <conditionalFormatting sqref="F255">
    <cfRule type="cellIs" dxfId="5" priority="687" operator="lessThan">
      <formula>-4100</formula>
    </cfRule>
  </conditionalFormatting>
  <conditionalFormatting sqref="F255">
    <cfRule type="cellIs" dxfId="4" priority="688" operator="greaterThanOrEqual">
      <formula>0</formula>
    </cfRule>
  </conditionalFormatting>
  <conditionalFormatting sqref="F255">
    <cfRule type="cellIs" dxfId="4" priority="689" operator="greaterThanOrEqual">
      <formula>0</formula>
    </cfRule>
  </conditionalFormatting>
  <conditionalFormatting sqref="F255">
    <cfRule type="cellIs" dxfId="5" priority="690" operator="lessThan">
      <formula>-4100</formula>
    </cfRule>
  </conditionalFormatting>
  <conditionalFormatting sqref="F255">
    <cfRule type="cellIs" dxfId="4" priority="691" operator="greaterThanOrEqual">
      <formula>0</formula>
    </cfRule>
  </conditionalFormatting>
  <conditionalFormatting sqref="F255">
    <cfRule type="cellIs" dxfId="5" priority="692" operator="lessThan">
      <formula>-4100</formula>
    </cfRule>
  </conditionalFormatting>
  <conditionalFormatting sqref="E255">
    <cfRule type="cellIs" dxfId="6" priority="693" operator="greaterThan">
      <formula>0</formula>
    </cfRule>
  </conditionalFormatting>
  <conditionalFormatting sqref="H40">
    <cfRule type="expression" dxfId="0" priority="694">
      <formula>H40&lt;($D$3-6%)</formula>
    </cfRule>
  </conditionalFormatting>
  <conditionalFormatting sqref="H40">
    <cfRule type="expression" dxfId="1" priority="695">
      <formula>H40&gt;($D$3+6%)</formula>
    </cfRule>
  </conditionalFormatting>
  <conditionalFormatting sqref="H40">
    <cfRule type="expression" dxfId="2" priority="696">
      <formula>H40&lt;($D$3-3%)</formula>
    </cfRule>
  </conditionalFormatting>
  <conditionalFormatting sqref="H40">
    <cfRule type="expression" dxfId="3" priority="697">
      <formula>H40&gt;($D$3+3%)</formula>
    </cfRule>
  </conditionalFormatting>
  <conditionalFormatting sqref="H41">
    <cfRule type="expression" dxfId="0" priority="698">
      <formula>H41&lt;($D$3-6%)</formula>
    </cfRule>
  </conditionalFormatting>
  <conditionalFormatting sqref="H41">
    <cfRule type="expression" dxfId="1" priority="699">
      <formula>H41&gt;($D$3+6%)</formula>
    </cfRule>
  </conditionalFormatting>
  <conditionalFormatting sqref="H41">
    <cfRule type="expression" dxfId="2" priority="700">
      <formula>H41&lt;($D$3-3%)</formula>
    </cfRule>
  </conditionalFormatting>
  <conditionalFormatting sqref="H41">
    <cfRule type="expression" dxfId="3" priority="701">
      <formula>H41&gt;($D$3+3%)</formula>
    </cfRule>
  </conditionalFormatting>
  <conditionalFormatting sqref="F44">
    <cfRule type="cellIs" dxfId="5" priority="702" operator="lessThan">
      <formula>-4100</formula>
    </cfRule>
  </conditionalFormatting>
  <conditionalFormatting sqref="F44">
    <cfRule type="cellIs" dxfId="4" priority="703" operator="greaterThanOrEqual">
      <formula>0</formula>
    </cfRule>
  </conditionalFormatting>
  <conditionalFormatting sqref="F44">
    <cfRule type="cellIs" dxfId="4" priority="704" operator="greaterThanOrEqual">
      <formula>0</formula>
    </cfRule>
  </conditionalFormatting>
  <conditionalFormatting sqref="F44">
    <cfRule type="cellIs" dxfId="5" priority="705" operator="lessThan">
      <formula>-4100</formula>
    </cfRule>
  </conditionalFormatting>
  <conditionalFormatting sqref="F44">
    <cfRule type="cellIs" dxfId="4" priority="706" operator="greaterThanOrEqual">
      <formula>0</formula>
    </cfRule>
  </conditionalFormatting>
  <conditionalFormatting sqref="F44">
    <cfRule type="cellIs" dxfId="5" priority="707" operator="lessThan">
      <formula>-4100</formula>
    </cfRule>
  </conditionalFormatting>
  <conditionalFormatting sqref="F44">
    <cfRule type="cellIs" dxfId="4" priority="708" operator="greaterThanOrEqual">
      <formula>0</formula>
    </cfRule>
  </conditionalFormatting>
  <conditionalFormatting sqref="F44">
    <cfRule type="cellIs" dxfId="5" priority="709" operator="lessThan">
      <formula>-4100</formula>
    </cfRule>
  </conditionalFormatting>
  <conditionalFormatting sqref="F44">
    <cfRule type="cellIs" dxfId="4" priority="710" operator="greaterThanOrEqual">
      <formula>0</formula>
    </cfRule>
  </conditionalFormatting>
  <conditionalFormatting sqref="F44">
    <cfRule type="cellIs" dxfId="5" priority="711" operator="lessThan">
      <formula>-4100</formula>
    </cfRule>
  </conditionalFormatting>
  <conditionalFormatting sqref="F44">
    <cfRule type="cellIs" dxfId="5" priority="712" operator="lessThan">
      <formula>-4100</formula>
    </cfRule>
  </conditionalFormatting>
  <conditionalFormatting sqref="F44">
    <cfRule type="cellIs" dxfId="4" priority="713" operator="greaterThanOrEqual">
      <formula>0</formula>
    </cfRule>
  </conditionalFormatting>
  <conditionalFormatting sqref="F44">
    <cfRule type="cellIs" dxfId="4" priority="714" operator="greaterThanOrEqual">
      <formula>0</formula>
    </cfRule>
  </conditionalFormatting>
  <conditionalFormatting sqref="F44">
    <cfRule type="cellIs" dxfId="5" priority="715" operator="lessThan">
      <formula>-4100</formula>
    </cfRule>
  </conditionalFormatting>
  <conditionalFormatting sqref="F44">
    <cfRule type="cellIs" dxfId="4" priority="716" operator="greaterThanOrEqual">
      <formula>0</formula>
    </cfRule>
  </conditionalFormatting>
  <conditionalFormatting sqref="F44">
    <cfRule type="cellIs" dxfId="5" priority="717" operator="lessThan">
      <formula>-4100</formula>
    </cfRule>
  </conditionalFormatting>
  <conditionalFormatting sqref="E44">
    <cfRule type="cellIs" dxfId="6" priority="718" operator="greaterThan">
      <formula>0</formula>
    </cfRule>
  </conditionalFormatting>
  <conditionalFormatting sqref="F455">
    <cfRule type="cellIs" dxfId="4" priority="719" operator="greaterThanOrEqual">
      <formula>0</formula>
    </cfRule>
  </conditionalFormatting>
  <conditionalFormatting sqref="F455">
    <cfRule type="cellIs" dxfId="5" priority="720" operator="lessThan">
      <formula>-4100</formula>
    </cfRule>
  </conditionalFormatting>
  <conditionalFormatting sqref="F455">
    <cfRule type="cellIs" dxfId="4" priority="721" operator="greaterThanOrEqual">
      <formula>0</formula>
    </cfRule>
  </conditionalFormatting>
  <conditionalFormatting sqref="F455">
    <cfRule type="cellIs" dxfId="5" priority="722" operator="lessThan">
      <formula>-4100</formula>
    </cfRule>
  </conditionalFormatting>
  <conditionalFormatting sqref="F455">
    <cfRule type="cellIs" dxfId="4" priority="723" operator="greaterThanOrEqual">
      <formula>0</formula>
    </cfRule>
  </conditionalFormatting>
  <conditionalFormatting sqref="F455">
    <cfRule type="cellIs" dxfId="5" priority="724" operator="lessThan">
      <formula>-4100</formula>
    </cfRule>
  </conditionalFormatting>
  <conditionalFormatting sqref="F455">
    <cfRule type="cellIs" dxfId="4" priority="725" operator="greaterThanOrEqual">
      <formula>0</formula>
    </cfRule>
  </conditionalFormatting>
  <conditionalFormatting sqref="F455">
    <cfRule type="cellIs" dxfId="5" priority="726" operator="lessThan">
      <formula>-4100</formula>
    </cfRule>
  </conditionalFormatting>
  <conditionalFormatting sqref="F455">
    <cfRule type="cellIs" dxfId="4" priority="727" operator="greaterThanOrEqual">
      <formula>0</formula>
    </cfRule>
  </conditionalFormatting>
  <conditionalFormatting sqref="F455">
    <cfRule type="cellIs" dxfId="5" priority="728" operator="lessThan">
      <formula>-4100</formula>
    </cfRule>
  </conditionalFormatting>
  <conditionalFormatting sqref="F455">
    <cfRule type="cellIs" dxfId="4" priority="729" operator="greaterThanOrEqual">
      <formula>0</formula>
    </cfRule>
  </conditionalFormatting>
  <conditionalFormatting sqref="F455">
    <cfRule type="cellIs" dxfId="5" priority="730" operator="lessThan">
      <formula>-4100</formula>
    </cfRule>
  </conditionalFormatting>
  <conditionalFormatting sqref="F455">
    <cfRule type="cellIs" dxfId="4" priority="731" operator="greaterThanOrEqual">
      <formula>0</formula>
    </cfRule>
  </conditionalFormatting>
  <conditionalFormatting sqref="F455">
    <cfRule type="cellIs" dxfId="5" priority="732" operator="lessThan">
      <formula>-4100</formula>
    </cfRule>
  </conditionalFormatting>
  <conditionalFormatting sqref="F455">
    <cfRule type="cellIs" dxfId="4" priority="733" operator="greaterThanOrEqual">
      <formula>0</formula>
    </cfRule>
  </conditionalFormatting>
  <conditionalFormatting sqref="F455">
    <cfRule type="cellIs" dxfId="5" priority="734" operator="lessThan">
      <formula>-4100</formula>
    </cfRule>
  </conditionalFormatting>
  <conditionalFormatting sqref="E455">
    <cfRule type="cellIs" dxfId="6" priority="735" operator="greaterThan">
      <formula>0</formula>
    </cfRule>
  </conditionalFormatting>
  <conditionalFormatting sqref="F450">
    <cfRule type="cellIs" dxfId="4" priority="736" operator="greaterThanOrEqual">
      <formula>0</formula>
    </cfRule>
  </conditionalFormatting>
  <conditionalFormatting sqref="F450">
    <cfRule type="cellIs" dxfId="5" priority="737" operator="lessThan">
      <formula>-4100</formula>
    </cfRule>
  </conditionalFormatting>
  <conditionalFormatting sqref="F450">
    <cfRule type="cellIs" dxfId="4" priority="738" operator="greaterThanOrEqual">
      <formula>0</formula>
    </cfRule>
  </conditionalFormatting>
  <conditionalFormatting sqref="F450">
    <cfRule type="cellIs" dxfId="5" priority="739" operator="lessThan">
      <formula>-4100</formula>
    </cfRule>
  </conditionalFormatting>
  <conditionalFormatting sqref="F450">
    <cfRule type="cellIs" dxfId="4" priority="740" operator="greaterThanOrEqual">
      <formula>0</formula>
    </cfRule>
  </conditionalFormatting>
  <conditionalFormatting sqref="F450">
    <cfRule type="cellIs" dxfId="5" priority="741" operator="lessThan">
      <formula>-4100</formula>
    </cfRule>
  </conditionalFormatting>
  <conditionalFormatting sqref="F450">
    <cfRule type="cellIs" dxfId="4" priority="742" operator="greaterThanOrEqual">
      <formula>0</formula>
    </cfRule>
  </conditionalFormatting>
  <conditionalFormatting sqref="F450">
    <cfRule type="cellIs" dxfId="5" priority="743" operator="lessThan">
      <formula>-4100</formula>
    </cfRule>
  </conditionalFormatting>
  <conditionalFormatting sqref="F450">
    <cfRule type="cellIs" dxfId="4" priority="744" operator="greaterThanOrEqual">
      <formula>0</formula>
    </cfRule>
  </conditionalFormatting>
  <conditionalFormatting sqref="F450">
    <cfRule type="cellIs" dxfId="5" priority="745" operator="lessThan">
      <formula>-4100</formula>
    </cfRule>
  </conditionalFormatting>
  <conditionalFormatting sqref="F450">
    <cfRule type="cellIs" dxfId="4" priority="746" operator="greaterThanOrEqual">
      <formula>0</formula>
    </cfRule>
  </conditionalFormatting>
  <conditionalFormatting sqref="F450">
    <cfRule type="cellIs" dxfId="5" priority="747" operator="lessThan">
      <formula>-4100</formula>
    </cfRule>
  </conditionalFormatting>
  <conditionalFormatting sqref="F450">
    <cfRule type="cellIs" dxfId="4" priority="748" operator="greaterThanOrEqual">
      <formula>0</formula>
    </cfRule>
  </conditionalFormatting>
  <conditionalFormatting sqref="F450">
    <cfRule type="cellIs" dxfId="5" priority="749" operator="lessThan">
      <formula>-4100</formula>
    </cfRule>
  </conditionalFormatting>
  <conditionalFormatting sqref="F450">
    <cfRule type="cellIs" dxfId="4" priority="750" operator="greaterThanOrEqual">
      <formula>0</formula>
    </cfRule>
  </conditionalFormatting>
  <conditionalFormatting sqref="F450">
    <cfRule type="cellIs" dxfId="5" priority="751" operator="lessThan">
      <formula>-4100</formula>
    </cfRule>
  </conditionalFormatting>
  <conditionalFormatting sqref="E450">
    <cfRule type="cellIs" dxfId="6" priority="752" operator="greaterThan">
      <formula>0</formula>
    </cfRule>
  </conditionalFormatting>
  <conditionalFormatting sqref="F164">
    <cfRule type="cellIs" dxfId="4" priority="753" operator="greaterThanOrEqual">
      <formula>0</formula>
    </cfRule>
  </conditionalFormatting>
  <conditionalFormatting sqref="F164">
    <cfRule type="cellIs" dxfId="5" priority="754" operator="lessThan">
      <formula>-4100</formula>
    </cfRule>
  </conditionalFormatting>
  <conditionalFormatting sqref="F164">
    <cfRule type="cellIs" dxfId="5" priority="755" operator="lessThan">
      <formula>-4100</formula>
    </cfRule>
  </conditionalFormatting>
  <conditionalFormatting sqref="F164">
    <cfRule type="cellIs" dxfId="4" priority="756" operator="greaterThanOrEqual">
      <formula>0</formula>
    </cfRule>
  </conditionalFormatting>
  <conditionalFormatting sqref="F164">
    <cfRule type="cellIs" dxfId="4" priority="757" operator="greaterThanOrEqual">
      <formula>0</formula>
    </cfRule>
  </conditionalFormatting>
  <conditionalFormatting sqref="F164">
    <cfRule type="cellIs" dxfId="5" priority="758" operator="lessThan">
      <formula>-4100</formula>
    </cfRule>
  </conditionalFormatting>
  <conditionalFormatting sqref="E164">
    <cfRule type="cellIs" dxfId="6" priority="759" operator="greaterThan">
      <formula>0</formula>
    </cfRule>
  </conditionalFormatting>
  <conditionalFormatting sqref="F164">
    <cfRule type="cellIs" dxfId="4" priority="760" operator="greaterThanOrEqual">
      <formula>0</formula>
    </cfRule>
  </conditionalFormatting>
  <conditionalFormatting sqref="F164">
    <cfRule type="cellIs" dxfId="5" priority="761" operator="lessThan">
      <formula>-4100</formula>
    </cfRule>
  </conditionalFormatting>
  <conditionalFormatting sqref="F164">
    <cfRule type="cellIs" dxfId="4" priority="762" operator="greaterThanOrEqual">
      <formula>0</formula>
    </cfRule>
  </conditionalFormatting>
  <conditionalFormatting sqref="F164">
    <cfRule type="cellIs" dxfId="5" priority="763" operator="lessThan">
      <formula>-4100</formula>
    </cfRule>
  </conditionalFormatting>
  <conditionalFormatting sqref="F164">
    <cfRule type="cellIs" dxfId="4" priority="764" operator="greaterThanOrEqual">
      <formula>0</formula>
    </cfRule>
  </conditionalFormatting>
  <conditionalFormatting sqref="F164">
    <cfRule type="cellIs" dxfId="5" priority="765" operator="lessThan">
      <formula>-4100</formula>
    </cfRule>
  </conditionalFormatting>
  <conditionalFormatting sqref="F164">
    <cfRule type="cellIs" dxfId="4" priority="766" operator="greaterThanOrEqual">
      <formula>0</formula>
    </cfRule>
  </conditionalFormatting>
  <conditionalFormatting sqref="F164">
    <cfRule type="cellIs" dxfId="5" priority="767" operator="lessThan">
      <formula>-4100</formula>
    </cfRule>
  </conditionalFormatting>
  <conditionalFormatting sqref="F164">
    <cfRule type="cellIs" dxfId="4" priority="768" operator="greaterThanOrEqual">
      <formula>0</formula>
    </cfRule>
  </conditionalFormatting>
  <conditionalFormatting sqref="F164">
    <cfRule type="cellIs" dxfId="5" priority="769" operator="lessThan">
      <formula>-4100</formula>
    </cfRule>
  </conditionalFormatting>
  <conditionalFormatting sqref="H60">
    <cfRule type="expression" dxfId="0" priority="770">
      <formula>H60&lt;($D$3-6%)</formula>
    </cfRule>
  </conditionalFormatting>
  <conditionalFormatting sqref="H60">
    <cfRule type="expression" dxfId="1" priority="771">
      <formula>H60&gt;($D$3+6%)</formula>
    </cfRule>
  </conditionalFormatting>
  <conditionalFormatting sqref="H60">
    <cfRule type="expression" dxfId="2" priority="772">
      <formula>H60&lt;($D$3-3%)</formula>
    </cfRule>
  </conditionalFormatting>
  <conditionalFormatting sqref="H60">
    <cfRule type="expression" dxfId="3" priority="773">
      <formula>H60&gt;($D$3+3%)</formula>
    </cfRule>
  </conditionalFormatting>
  <conditionalFormatting sqref="H61">
    <cfRule type="expression" dxfId="0" priority="774">
      <formula>H61&lt;($D$3-6%)</formula>
    </cfRule>
  </conditionalFormatting>
  <conditionalFormatting sqref="H61">
    <cfRule type="expression" dxfId="1" priority="775">
      <formula>H61&gt;($D$3+6%)</formula>
    </cfRule>
  </conditionalFormatting>
  <conditionalFormatting sqref="H61">
    <cfRule type="expression" dxfId="2" priority="776">
      <formula>H61&lt;($D$3-3%)</formula>
    </cfRule>
  </conditionalFormatting>
  <conditionalFormatting sqref="H61">
    <cfRule type="expression" dxfId="3" priority="777">
      <formula>H61&gt;($D$3+3%)</formula>
    </cfRule>
  </conditionalFormatting>
  <conditionalFormatting sqref="F64">
    <cfRule type="cellIs" dxfId="5" priority="778" operator="lessThan">
      <formula>-4100</formula>
    </cfRule>
  </conditionalFormatting>
  <conditionalFormatting sqref="F64">
    <cfRule type="cellIs" dxfId="4" priority="779" operator="greaterThanOrEqual">
      <formula>0</formula>
    </cfRule>
  </conditionalFormatting>
  <conditionalFormatting sqref="F64">
    <cfRule type="cellIs" dxfId="4" priority="780" operator="greaterThanOrEqual">
      <formula>0</formula>
    </cfRule>
  </conditionalFormatting>
  <conditionalFormatting sqref="F64">
    <cfRule type="cellIs" dxfId="5" priority="781" operator="lessThan">
      <formula>-4100</formula>
    </cfRule>
  </conditionalFormatting>
  <conditionalFormatting sqref="F64">
    <cfRule type="cellIs" dxfId="4" priority="782" operator="greaterThanOrEqual">
      <formula>0</formula>
    </cfRule>
  </conditionalFormatting>
  <conditionalFormatting sqref="F64">
    <cfRule type="cellIs" dxfId="5" priority="783" operator="lessThan">
      <formula>-4100</formula>
    </cfRule>
  </conditionalFormatting>
  <conditionalFormatting sqref="F64">
    <cfRule type="cellIs" dxfId="4" priority="784" operator="greaterThanOrEqual">
      <formula>0</formula>
    </cfRule>
  </conditionalFormatting>
  <conditionalFormatting sqref="F64">
    <cfRule type="cellIs" dxfId="5" priority="785" operator="lessThan">
      <formula>-4100</formula>
    </cfRule>
  </conditionalFormatting>
  <conditionalFormatting sqref="F64">
    <cfRule type="cellIs" dxfId="4" priority="786" operator="greaterThanOrEqual">
      <formula>0</formula>
    </cfRule>
  </conditionalFormatting>
  <conditionalFormatting sqref="F64">
    <cfRule type="cellIs" dxfId="5" priority="787" operator="lessThan">
      <formula>-4100</formula>
    </cfRule>
  </conditionalFormatting>
  <conditionalFormatting sqref="F64">
    <cfRule type="cellIs" dxfId="5" priority="788" operator="lessThan">
      <formula>-4100</formula>
    </cfRule>
  </conditionalFormatting>
  <conditionalFormatting sqref="F64">
    <cfRule type="cellIs" dxfId="4" priority="789" operator="greaterThanOrEqual">
      <formula>0</formula>
    </cfRule>
  </conditionalFormatting>
  <conditionalFormatting sqref="F64">
    <cfRule type="cellIs" dxfId="4" priority="790" operator="greaterThanOrEqual">
      <formula>0</formula>
    </cfRule>
  </conditionalFormatting>
  <conditionalFormatting sqref="F64">
    <cfRule type="cellIs" dxfId="5" priority="791" operator="lessThan">
      <formula>-4100</formula>
    </cfRule>
  </conditionalFormatting>
  <conditionalFormatting sqref="F64">
    <cfRule type="cellIs" dxfId="4" priority="792" operator="greaterThanOrEqual">
      <formula>0</formula>
    </cfRule>
  </conditionalFormatting>
  <conditionalFormatting sqref="F64">
    <cfRule type="cellIs" dxfId="5" priority="793" operator="lessThan">
      <formula>-4100</formula>
    </cfRule>
  </conditionalFormatting>
  <conditionalFormatting sqref="E64">
    <cfRule type="cellIs" dxfId="6" priority="794" operator="greaterThan">
      <formula>0</formula>
    </cfRule>
  </conditionalFormatting>
  <conditionalFormatting sqref="H25">
    <cfRule type="expression" dxfId="0" priority="795">
      <formula>H25&lt;($D$3-6%)</formula>
    </cfRule>
  </conditionalFormatting>
  <conditionalFormatting sqref="H25">
    <cfRule type="expression" dxfId="1" priority="796">
      <formula>H25&gt;($D$3+6%)</formula>
    </cfRule>
  </conditionalFormatting>
  <conditionalFormatting sqref="H25">
    <cfRule type="expression" dxfId="2" priority="797">
      <formula>H25&lt;($D$3-3%)</formula>
    </cfRule>
  </conditionalFormatting>
  <conditionalFormatting sqref="H25">
    <cfRule type="expression" dxfId="3" priority="798">
      <formula>H25&gt;($D$3+3%)</formula>
    </cfRule>
  </conditionalFormatting>
  <conditionalFormatting sqref="H26">
    <cfRule type="expression" dxfId="0" priority="799">
      <formula>H26&lt;($D$3-6%)</formula>
    </cfRule>
  </conditionalFormatting>
  <conditionalFormatting sqref="H26">
    <cfRule type="expression" dxfId="1" priority="800">
      <formula>H26&gt;($D$3+6%)</formula>
    </cfRule>
  </conditionalFormatting>
  <conditionalFormatting sqref="H26">
    <cfRule type="expression" dxfId="2" priority="801">
      <formula>H26&lt;($D$3-3%)</formula>
    </cfRule>
  </conditionalFormatting>
  <conditionalFormatting sqref="H26">
    <cfRule type="expression" dxfId="3" priority="802">
      <formula>H26&gt;($D$3+3%)</formula>
    </cfRule>
  </conditionalFormatting>
  <conditionalFormatting sqref="F260">
    <cfRule type="cellIs" dxfId="5" priority="803" operator="lessThan">
      <formula>-4100</formula>
    </cfRule>
  </conditionalFormatting>
  <conditionalFormatting sqref="F260">
    <cfRule type="cellIs" dxfId="4" priority="804" operator="greaterThanOrEqual">
      <formula>0</formula>
    </cfRule>
  </conditionalFormatting>
  <conditionalFormatting sqref="F260">
    <cfRule type="cellIs" dxfId="4" priority="805" operator="greaterThanOrEqual">
      <formula>0</formula>
    </cfRule>
  </conditionalFormatting>
  <conditionalFormatting sqref="F260">
    <cfRule type="cellIs" dxfId="5" priority="806" operator="lessThan">
      <formula>-4100</formula>
    </cfRule>
  </conditionalFormatting>
  <conditionalFormatting sqref="F260">
    <cfRule type="cellIs" dxfId="4" priority="807" operator="greaterThanOrEqual">
      <formula>0</formula>
    </cfRule>
  </conditionalFormatting>
  <conditionalFormatting sqref="F260">
    <cfRule type="cellIs" dxfId="5" priority="808" operator="lessThan">
      <formula>-4100</formula>
    </cfRule>
  </conditionalFormatting>
  <conditionalFormatting sqref="F260">
    <cfRule type="cellIs" dxfId="4" priority="809" operator="greaterThanOrEqual">
      <formula>0</formula>
    </cfRule>
  </conditionalFormatting>
  <conditionalFormatting sqref="F260">
    <cfRule type="cellIs" dxfId="5" priority="810" operator="lessThan">
      <formula>-4100</formula>
    </cfRule>
  </conditionalFormatting>
  <conditionalFormatting sqref="F260">
    <cfRule type="cellIs" dxfId="4" priority="811" operator="greaterThanOrEqual">
      <formula>0</formula>
    </cfRule>
  </conditionalFormatting>
  <conditionalFormatting sqref="F260">
    <cfRule type="cellIs" dxfId="5" priority="812" operator="lessThan">
      <formula>-4100</formula>
    </cfRule>
  </conditionalFormatting>
  <conditionalFormatting sqref="F260">
    <cfRule type="cellIs" dxfId="5" priority="813" operator="lessThan">
      <formula>-4100</formula>
    </cfRule>
  </conditionalFormatting>
  <conditionalFormatting sqref="F260">
    <cfRule type="cellIs" dxfId="4" priority="814" operator="greaterThanOrEqual">
      <formula>0</formula>
    </cfRule>
  </conditionalFormatting>
  <conditionalFormatting sqref="F260">
    <cfRule type="cellIs" dxfId="4" priority="815" operator="greaterThanOrEqual">
      <formula>0</formula>
    </cfRule>
  </conditionalFormatting>
  <conditionalFormatting sqref="F260">
    <cfRule type="cellIs" dxfId="5" priority="816" operator="lessThan">
      <formula>-4100</formula>
    </cfRule>
  </conditionalFormatting>
  <conditionalFormatting sqref="F260">
    <cfRule type="cellIs" dxfId="4" priority="817" operator="greaterThanOrEqual">
      <formula>0</formula>
    </cfRule>
  </conditionalFormatting>
  <conditionalFormatting sqref="F260">
    <cfRule type="cellIs" dxfId="5" priority="818" operator="lessThan">
      <formula>-4100</formula>
    </cfRule>
  </conditionalFormatting>
  <conditionalFormatting sqref="E260">
    <cfRule type="cellIs" dxfId="6" priority="819" operator="greaterThan">
      <formula>0</formula>
    </cfRule>
  </conditionalFormatting>
  <conditionalFormatting sqref="F149">
    <cfRule type="cellIs" dxfId="5" priority="820" operator="lessThan">
      <formula>-4100</formula>
    </cfRule>
  </conditionalFormatting>
  <conditionalFormatting sqref="F149">
    <cfRule type="cellIs" dxfId="4" priority="821" operator="greaterThanOrEqual">
      <formula>0</formula>
    </cfRule>
  </conditionalFormatting>
  <conditionalFormatting sqref="F149">
    <cfRule type="cellIs" dxfId="4" priority="822" operator="greaterThanOrEqual">
      <formula>0</formula>
    </cfRule>
  </conditionalFormatting>
  <conditionalFormatting sqref="F149">
    <cfRule type="cellIs" dxfId="5" priority="823" operator="lessThan">
      <formula>-4100</formula>
    </cfRule>
  </conditionalFormatting>
  <conditionalFormatting sqref="F149">
    <cfRule type="cellIs" dxfId="4" priority="824" operator="greaterThanOrEqual">
      <formula>0</formula>
    </cfRule>
  </conditionalFormatting>
  <conditionalFormatting sqref="F149">
    <cfRule type="cellIs" dxfId="5" priority="825" operator="lessThan">
      <formula>-4100</formula>
    </cfRule>
  </conditionalFormatting>
  <conditionalFormatting sqref="F149">
    <cfRule type="cellIs" dxfId="5" priority="826" operator="lessThan">
      <formula>-4100</formula>
    </cfRule>
  </conditionalFormatting>
  <conditionalFormatting sqref="F149">
    <cfRule type="cellIs" dxfId="4" priority="827" operator="greaterThanOrEqual">
      <formula>0</formula>
    </cfRule>
  </conditionalFormatting>
  <conditionalFormatting sqref="F149">
    <cfRule type="cellIs" dxfId="4" priority="828" operator="greaterThanOrEqual">
      <formula>0</formula>
    </cfRule>
  </conditionalFormatting>
  <conditionalFormatting sqref="F149">
    <cfRule type="cellIs" dxfId="5" priority="829" operator="lessThan">
      <formula>-4100</formula>
    </cfRule>
  </conditionalFormatting>
  <conditionalFormatting sqref="F149">
    <cfRule type="cellIs" dxfId="4" priority="830" operator="greaterThanOrEqual">
      <formula>0</formula>
    </cfRule>
  </conditionalFormatting>
  <conditionalFormatting sqref="F149">
    <cfRule type="cellIs" dxfId="5" priority="831" operator="lessThan">
      <formula>-4100</formula>
    </cfRule>
  </conditionalFormatting>
  <conditionalFormatting sqref="E145:E149">
    <cfRule type="cellIs" dxfId="6" priority="832" operator="greaterThan">
      <formula>0</formula>
    </cfRule>
  </conditionalFormatting>
  <conditionalFormatting sqref="F149">
    <cfRule type="cellIs" dxfId="4" priority="833" operator="greaterThanOrEqual">
      <formula>0</formula>
    </cfRule>
  </conditionalFormatting>
  <conditionalFormatting sqref="F149">
    <cfRule type="cellIs" dxfId="5" priority="834" operator="lessThan">
      <formula>-4100</formula>
    </cfRule>
  </conditionalFormatting>
  <conditionalFormatting sqref="F149">
    <cfRule type="cellIs" dxfId="4" priority="835" operator="greaterThanOrEqual">
      <formula>0</formula>
    </cfRule>
  </conditionalFormatting>
  <conditionalFormatting sqref="F149">
    <cfRule type="cellIs" dxfId="5" priority="836" operator="lessThan">
      <formula>-4100</formula>
    </cfRule>
  </conditionalFormatting>
  <conditionalFormatting sqref="F79">
    <cfRule type="cellIs" dxfId="5" priority="837" operator="lessThan">
      <formula>-4100</formula>
    </cfRule>
  </conditionalFormatting>
  <conditionalFormatting sqref="F79">
    <cfRule type="cellIs" dxfId="4" priority="838" operator="greaterThanOrEqual">
      <formula>0</formula>
    </cfRule>
  </conditionalFormatting>
  <conditionalFormatting sqref="F79">
    <cfRule type="cellIs" dxfId="4" priority="839" operator="greaterThanOrEqual">
      <formula>0</formula>
    </cfRule>
  </conditionalFormatting>
  <conditionalFormatting sqref="F79">
    <cfRule type="cellIs" dxfId="5" priority="840" operator="lessThan">
      <formula>-4100</formula>
    </cfRule>
  </conditionalFormatting>
  <conditionalFormatting sqref="F79">
    <cfRule type="cellIs" dxfId="4" priority="841" operator="greaterThanOrEqual">
      <formula>0</formula>
    </cfRule>
  </conditionalFormatting>
  <conditionalFormatting sqref="F79">
    <cfRule type="cellIs" dxfId="5" priority="842" operator="lessThan">
      <formula>-4100</formula>
    </cfRule>
  </conditionalFormatting>
  <conditionalFormatting sqref="F79">
    <cfRule type="cellIs" dxfId="4" priority="843" operator="greaterThanOrEqual">
      <formula>0</formula>
    </cfRule>
  </conditionalFormatting>
  <conditionalFormatting sqref="F79">
    <cfRule type="cellIs" dxfId="5" priority="844" operator="lessThan">
      <formula>-4100</formula>
    </cfRule>
  </conditionalFormatting>
  <conditionalFormatting sqref="F79">
    <cfRule type="cellIs" dxfId="4" priority="845" operator="greaterThanOrEqual">
      <formula>0</formula>
    </cfRule>
  </conditionalFormatting>
  <conditionalFormatting sqref="F79">
    <cfRule type="cellIs" dxfId="5" priority="846" operator="lessThan">
      <formula>-4100</formula>
    </cfRule>
  </conditionalFormatting>
  <conditionalFormatting sqref="F79">
    <cfRule type="cellIs" dxfId="5" priority="847" operator="lessThan">
      <formula>-4100</formula>
    </cfRule>
  </conditionalFormatting>
  <conditionalFormatting sqref="F79">
    <cfRule type="cellIs" dxfId="4" priority="848" operator="greaterThanOrEqual">
      <formula>0</formula>
    </cfRule>
  </conditionalFormatting>
  <conditionalFormatting sqref="F79">
    <cfRule type="cellIs" dxfId="4" priority="849" operator="greaterThanOrEqual">
      <formula>0</formula>
    </cfRule>
  </conditionalFormatting>
  <conditionalFormatting sqref="F79">
    <cfRule type="cellIs" dxfId="5" priority="850" operator="lessThan">
      <formula>-4100</formula>
    </cfRule>
  </conditionalFormatting>
  <conditionalFormatting sqref="F79">
    <cfRule type="cellIs" dxfId="4" priority="851" operator="greaterThanOrEqual">
      <formula>0</formula>
    </cfRule>
  </conditionalFormatting>
  <conditionalFormatting sqref="F79">
    <cfRule type="cellIs" dxfId="5" priority="852" operator="lessThan">
      <formula>-4100</formula>
    </cfRule>
  </conditionalFormatting>
  <conditionalFormatting sqref="E79">
    <cfRule type="cellIs" dxfId="6" priority="853" operator="greaterThan">
      <formula>0</formula>
    </cfRule>
  </conditionalFormatting>
  <conditionalFormatting sqref="F204">
    <cfRule type="cellIs" dxfId="5" priority="854" operator="lessThan">
      <formula>-4100</formula>
    </cfRule>
  </conditionalFormatting>
  <conditionalFormatting sqref="F204">
    <cfRule type="cellIs" dxfId="4" priority="855" operator="greaterThanOrEqual">
      <formula>0</formula>
    </cfRule>
  </conditionalFormatting>
  <conditionalFormatting sqref="F204">
    <cfRule type="cellIs" dxfId="4" priority="856" operator="greaterThanOrEqual">
      <formula>0</formula>
    </cfRule>
  </conditionalFormatting>
  <conditionalFormatting sqref="F204">
    <cfRule type="cellIs" dxfId="5" priority="857" operator="lessThan">
      <formula>-4100</formula>
    </cfRule>
  </conditionalFormatting>
  <conditionalFormatting sqref="F204">
    <cfRule type="cellIs" dxfId="4" priority="858" operator="greaterThanOrEqual">
      <formula>0</formula>
    </cfRule>
  </conditionalFormatting>
  <conditionalFormatting sqref="F204">
    <cfRule type="cellIs" dxfId="5" priority="859" operator="lessThan">
      <formula>-4100</formula>
    </cfRule>
  </conditionalFormatting>
  <conditionalFormatting sqref="F204">
    <cfRule type="cellIs" dxfId="4" priority="860" operator="greaterThanOrEqual">
      <formula>0</formula>
    </cfRule>
  </conditionalFormatting>
  <conditionalFormatting sqref="F204">
    <cfRule type="cellIs" dxfId="5" priority="861" operator="lessThan">
      <formula>-4100</formula>
    </cfRule>
  </conditionalFormatting>
  <conditionalFormatting sqref="F204">
    <cfRule type="cellIs" dxfId="4" priority="862" operator="greaterThanOrEqual">
      <formula>0</formula>
    </cfRule>
  </conditionalFormatting>
  <conditionalFormatting sqref="F204">
    <cfRule type="cellIs" dxfId="5" priority="863" operator="lessThan">
      <formula>-4100</formula>
    </cfRule>
  </conditionalFormatting>
  <conditionalFormatting sqref="F204">
    <cfRule type="cellIs" dxfId="5" priority="864" operator="lessThan">
      <formula>-4100</formula>
    </cfRule>
  </conditionalFormatting>
  <conditionalFormatting sqref="F204">
    <cfRule type="cellIs" dxfId="4" priority="865" operator="greaterThanOrEqual">
      <formula>0</formula>
    </cfRule>
  </conditionalFormatting>
  <conditionalFormatting sqref="F204">
    <cfRule type="cellIs" dxfId="4" priority="866" operator="greaterThanOrEqual">
      <formula>0</formula>
    </cfRule>
  </conditionalFormatting>
  <conditionalFormatting sqref="F204">
    <cfRule type="cellIs" dxfId="5" priority="867" operator="lessThan">
      <formula>-4100</formula>
    </cfRule>
  </conditionalFormatting>
  <conditionalFormatting sqref="F204">
    <cfRule type="cellIs" dxfId="4" priority="868" operator="greaterThanOrEqual">
      <formula>0</formula>
    </cfRule>
  </conditionalFormatting>
  <conditionalFormatting sqref="F204">
    <cfRule type="cellIs" dxfId="5" priority="869" operator="lessThan">
      <formula>-4100</formula>
    </cfRule>
  </conditionalFormatting>
  <conditionalFormatting sqref="E204">
    <cfRule type="cellIs" dxfId="6" priority="870" operator="greaterThan">
      <formula>0</formula>
    </cfRule>
  </conditionalFormatting>
  <conditionalFormatting sqref="F209">
    <cfRule type="cellIs" dxfId="5" priority="871" operator="lessThan">
      <formula>-4100</formula>
    </cfRule>
  </conditionalFormatting>
  <conditionalFormatting sqref="F209">
    <cfRule type="cellIs" dxfId="4" priority="872" operator="greaterThanOrEqual">
      <formula>0</formula>
    </cfRule>
  </conditionalFormatting>
  <conditionalFormatting sqref="F209">
    <cfRule type="cellIs" dxfId="4" priority="873" operator="greaterThanOrEqual">
      <formula>0</formula>
    </cfRule>
  </conditionalFormatting>
  <conditionalFormatting sqref="F209">
    <cfRule type="cellIs" dxfId="5" priority="874" operator="lessThan">
      <formula>-4100</formula>
    </cfRule>
  </conditionalFormatting>
  <conditionalFormatting sqref="F209">
    <cfRule type="cellIs" dxfId="4" priority="875" operator="greaterThanOrEqual">
      <formula>0</formula>
    </cfRule>
  </conditionalFormatting>
  <conditionalFormatting sqref="F209">
    <cfRule type="cellIs" dxfId="5" priority="876" operator="lessThan">
      <formula>-4100</formula>
    </cfRule>
  </conditionalFormatting>
  <conditionalFormatting sqref="F209">
    <cfRule type="cellIs" dxfId="4" priority="877" operator="greaterThanOrEqual">
      <formula>0</formula>
    </cfRule>
  </conditionalFormatting>
  <conditionalFormatting sqref="F209">
    <cfRule type="cellIs" dxfId="5" priority="878" operator="lessThan">
      <formula>-4100</formula>
    </cfRule>
  </conditionalFormatting>
  <conditionalFormatting sqref="F209">
    <cfRule type="cellIs" dxfId="4" priority="879" operator="greaterThanOrEqual">
      <formula>0</formula>
    </cfRule>
  </conditionalFormatting>
  <conditionalFormatting sqref="F209">
    <cfRule type="cellIs" dxfId="5" priority="880" operator="lessThan">
      <formula>-4100</formula>
    </cfRule>
  </conditionalFormatting>
  <conditionalFormatting sqref="F209">
    <cfRule type="cellIs" dxfId="5" priority="881" operator="lessThan">
      <formula>-4100</formula>
    </cfRule>
  </conditionalFormatting>
  <conditionalFormatting sqref="F209">
    <cfRule type="cellIs" dxfId="4" priority="882" operator="greaterThanOrEqual">
      <formula>0</formula>
    </cfRule>
  </conditionalFormatting>
  <conditionalFormatting sqref="F209">
    <cfRule type="cellIs" dxfId="4" priority="883" operator="greaterThanOrEqual">
      <formula>0</formula>
    </cfRule>
  </conditionalFormatting>
  <conditionalFormatting sqref="F209">
    <cfRule type="cellIs" dxfId="5" priority="884" operator="lessThan">
      <formula>-4100</formula>
    </cfRule>
  </conditionalFormatting>
  <conditionalFormatting sqref="F209">
    <cfRule type="cellIs" dxfId="4" priority="885" operator="greaterThanOrEqual">
      <formula>0</formula>
    </cfRule>
  </conditionalFormatting>
  <conditionalFormatting sqref="F209">
    <cfRule type="cellIs" dxfId="5" priority="886" operator="lessThan">
      <formula>-4100</formula>
    </cfRule>
  </conditionalFormatting>
  <conditionalFormatting sqref="E209">
    <cfRule type="cellIs" dxfId="6" priority="887" operator="greaterThan">
      <formula>0</formula>
    </cfRule>
  </conditionalFormatting>
  <conditionalFormatting sqref="F159">
    <cfRule type="cellIs" dxfId="5" priority="888" operator="lessThan">
      <formula>-4100</formula>
    </cfRule>
  </conditionalFormatting>
  <conditionalFormatting sqref="F159">
    <cfRule type="cellIs" dxfId="4" priority="889" operator="greaterThanOrEqual">
      <formula>0</formula>
    </cfRule>
  </conditionalFormatting>
  <conditionalFormatting sqref="F159">
    <cfRule type="cellIs" dxfId="4" priority="890" operator="greaterThanOrEqual">
      <formula>0</formula>
    </cfRule>
  </conditionalFormatting>
  <conditionalFormatting sqref="F159">
    <cfRule type="cellIs" dxfId="5" priority="891" operator="lessThan">
      <formula>-4100</formula>
    </cfRule>
  </conditionalFormatting>
  <conditionalFormatting sqref="F159">
    <cfRule type="cellIs" dxfId="4" priority="892" operator="greaterThanOrEqual">
      <formula>0</formula>
    </cfRule>
  </conditionalFormatting>
  <conditionalFormatting sqref="F159">
    <cfRule type="cellIs" dxfId="5" priority="893" operator="lessThan">
      <formula>-4100</formula>
    </cfRule>
  </conditionalFormatting>
  <conditionalFormatting sqref="F159">
    <cfRule type="cellIs" dxfId="5" priority="894" operator="lessThan">
      <formula>-4100</formula>
    </cfRule>
  </conditionalFormatting>
  <conditionalFormatting sqref="F159">
    <cfRule type="cellIs" dxfId="4" priority="895" operator="greaterThanOrEqual">
      <formula>0</formula>
    </cfRule>
  </conditionalFormatting>
  <conditionalFormatting sqref="F159">
    <cfRule type="cellIs" dxfId="4" priority="896" operator="greaterThanOrEqual">
      <formula>0</formula>
    </cfRule>
  </conditionalFormatting>
  <conditionalFormatting sqref="F159">
    <cfRule type="cellIs" dxfId="5" priority="897" operator="lessThan">
      <formula>-4100</formula>
    </cfRule>
  </conditionalFormatting>
  <conditionalFormatting sqref="F159">
    <cfRule type="cellIs" dxfId="4" priority="898" operator="greaterThanOrEqual">
      <formula>0</formula>
    </cfRule>
  </conditionalFormatting>
  <conditionalFormatting sqref="F159">
    <cfRule type="cellIs" dxfId="5" priority="899" operator="lessThan">
      <formula>-4100</formula>
    </cfRule>
  </conditionalFormatting>
  <conditionalFormatting sqref="E155:E159">
    <cfRule type="cellIs" dxfId="6" priority="900" operator="greaterThan">
      <formula>0</formula>
    </cfRule>
  </conditionalFormatting>
  <conditionalFormatting sqref="F159">
    <cfRule type="cellIs" dxfId="4" priority="901" operator="greaterThanOrEqual">
      <formula>0</formula>
    </cfRule>
  </conditionalFormatting>
  <conditionalFormatting sqref="F159">
    <cfRule type="cellIs" dxfId="5" priority="902" operator="lessThan">
      <formula>-4100</formula>
    </cfRule>
  </conditionalFormatting>
  <conditionalFormatting sqref="F159">
    <cfRule type="cellIs" dxfId="4" priority="903" operator="greaterThanOrEqual">
      <formula>0</formula>
    </cfRule>
  </conditionalFormatting>
  <conditionalFormatting sqref="F159">
    <cfRule type="cellIs" dxfId="5" priority="904" operator="lessThan">
      <formula>-4100</formula>
    </cfRule>
  </conditionalFormatting>
  <conditionalFormatting sqref="F214">
    <cfRule type="cellIs" dxfId="5" priority="905" operator="lessThan">
      <formula>-4100</formula>
    </cfRule>
  </conditionalFormatting>
  <conditionalFormatting sqref="F214">
    <cfRule type="cellIs" dxfId="4" priority="906" operator="greaterThanOrEqual">
      <formula>0</formula>
    </cfRule>
  </conditionalFormatting>
  <conditionalFormatting sqref="F214">
    <cfRule type="cellIs" dxfId="4" priority="907" operator="greaterThanOrEqual">
      <formula>0</formula>
    </cfRule>
  </conditionalFormatting>
  <conditionalFormatting sqref="F214">
    <cfRule type="cellIs" dxfId="5" priority="908" operator="lessThan">
      <formula>-4100</formula>
    </cfRule>
  </conditionalFormatting>
  <conditionalFormatting sqref="F214">
    <cfRule type="cellIs" dxfId="4" priority="909" operator="greaterThanOrEqual">
      <formula>0</formula>
    </cfRule>
  </conditionalFormatting>
  <conditionalFormatting sqref="F214">
    <cfRule type="cellIs" dxfId="5" priority="910" operator="lessThan">
      <formula>-4100</formula>
    </cfRule>
  </conditionalFormatting>
  <conditionalFormatting sqref="F214">
    <cfRule type="cellIs" dxfId="4" priority="911" operator="greaterThanOrEqual">
      <formula>0</formula>
    </cfRule>
  </conditionalFormatting>
  <conditionalFormatting sqref="F214">
    <cfRule type="cellIs" dxfId="5" priority="912" operator="lessThan">
      <formula>-4100</formula>
    </cfRule>
  </conditionalFormatting>
  <conditionalFormatting sqref="F214">
    <cfRule type="cellIs" dxfId="4" priority="913" operator="greaterThanOrEqual">
      <formula>0</formula>
    </cfRule>
  </conditionalFormatting>
  <conditionalFormatting sqref="F214">
    <cfRule type="cellIs" dxfId="5" priority="914" operator="lessThan">
      <formula>-4100</formula>
    </cfRule>
  </conditionalFormatting>
  <conditionalFormatting sqref="F214">
    <cfRule type="cellIs" dxfId="5" priority="915" operator="lessThan">
      <formula>-4100</formula>
    </cfRule>
  </conditionalFormatting>
  <conditionalFormatting sqref="F214">
    <cfRule type="cellIs" dxfId="4" priority="916" operator="greaterThanOrEqual">
      <formula>0</formula>
    </cfRule>
  </conditionalFormatting>
  <conditionalFormatting sqref="F214">
    <cfRule type="cellIs" dxfId="4" priority="917" operator="greaterThanOrEqual">
      <formula>0</formula>
    </cfRule>
  </conditionalFormatting>
  <conditionalFormatting sqref="F214">
    <cfRule type="cellIs" dxfId="5" priority="918" operator="lessThan">
      <formula>-4100</formula>
    </cfRule>
  </conditionalFormatting>
  <conditionalFormatting sqref="F214">
    <cfRule type="cellIs" dxfId="4" priority="919" operator="greaterThanOrEqual">
      <formula>0</formula>
    </cfRule>
  </conditionalFormatting>
  <conditionalFormatting sqref="F214">
    <cfRule type="cellIs" dxfId="5" priority="920" operator="lessThan">
      <formula>-4100</formula>
    </cfRule>
  </conditionalFormatting>
  <conditionalFormatting sqref="E214">
    <cfRule type="cellIs" dxfId="6" priority="921" operator="greaterThan">
      <formula>0</formula>
    </cfRule>
  </conditionalFormatting>
  <conditionalFormatting sqref="F219">
    <cfRule type="cellIs" dxfId="5" priority="922" operator="lessThan">
      <formula>-4100</formula>
    </cfRule>
  </conditionalFormatting>
  <conditionalFormatting sqref="F219">
    <cfRule type="cellIs" dxfId="4" priority="923" operator="greaterThanOrEqual">
      <formula>0</formula>
    </cfRule>
  </conditionalFormatting>
  <conditionalFormatting sqref="F219">
    <cfRule type="cellIs" dxfId="4" priority="924" operator="greaterThanOrEqual">
      <formula>0</formula>
    </cfRule>
  </conditionalFormatting>
  <conditionalFormatting sqref="F219">
    <cfRule type="cellIs" dxfId="5" priority="925" operator="lessThan">
      <formula>-4100</formula>
    </cfRule>
  </conditionalFormatting>
  <conditionalFormatting sqref="F219">
    <cfRule type="cellIs" dxfId="4" priority="926" operator="greaterThanOrEqual">
      <formula>0</formula>
    </cfRule>
  </conditionalFormatting>
  <conditionalFormatting sqref="F219">
    <cfRule type="cellIs" dxfId="5" priority="927" operator="lessThan">
      <formula>-4100</formula>
    </cfRule>
  </conditionalFormatting>
  <conditionalFormatting sqref="F219">
    <cfRule type="cellIs" dxfId="4" priority="928" operator="greaterThanOrEqual">
      <formula>0</formula>
    </cfRule>
  </conditionalFormatting>
  <conditionalFormatting sqref="F219">
    <cfRule type="cellIs" dxfId="5" priority="929" operator="lessThan">
      <formula>-4100</formula>
    </cfRule>
  </conditionalFormatting>
  <conditionalFormatting sqref="F219">
    <cfRule type="cellIs" dxfId="4" priority="930" operator="greaterThanOrEqual">
      <formula>0</formula>
    </cfRule>
  </conditionalFormatting>
  <conditionalFormatting sqref="F219">
    <cfRule type="cellIs" dxfId="5" priority="931" operator="lessThan">
      <formula>-4100</formula>
    </cfRule>
  </conditionalFormatting>
  <conditionalFormatting sqref="F219">
    <cfRule type="cellIs" dxfId="5" priority="932" operator="lessThan">
      <formula>-4100</formula>
    </cfRule>
  </conditionalFormatting>
  <conditionalFormatting sqref="F219">
    <cfRule type="cellIs" dxfId="4" priority="933" operator="greaterThanOrEqual">
      <formula>0</formula>
    </cfRule>
  </conditionalFormatting>
  <conditionalFormatting sqref="F219">
    <cfRule type="cellIs" dxfId="4" priority="934" operator="greaterThanOrEqual">
      <formula>0</formula>
    </cfRule>
  </conditionalFormatting>
  <conditionalFormatting sqref="F219">
    <cfRule type="cellIs" dxfId="5" priority="935" operator="lessThan">
      <formula>-4100</formula>
    </cfRule>
  </conditionalFormatting>
  <conditionalFormatting sqref="F219">
    <cfRule type="cellIs" dxfId="4" priority="936" operator="greaterThanOrEqual">
      <formula>0</formula>
    </cfRule>
  </conditionalFormatting>
  <conditionalFormatting sqref="F219">
    <cfRule type="cellIs" dxfId="5" priority="937" operator="lessThan">
      <formula>-4100</formula>
    </cfRule>
  </conditionalFormatting>
  <conditionalFormatting sqref="E219">
    <cfRule type="cellIs" dxfId="6" priority="938" operator="greaterThan">
      <formula>0</formula>
    </cfRule>
  </conditionalFormatting>
  <conditionalFormatting sqref="F139">
    <cfRule type="cellIs" dxfId="5" priority="939" operator="lessThan">
      <formula>-4100</formula>
    </cfRule>
  </conditionalFormatting>
  <conditionalFormatting sqref="F139">
    <cfRule type="cellIs" dxfId="4" priority="940" operator="greaterThanOrEqual">
      <formula>0</formula>
    </cfRule>
  </conditionalFormatting>
  <conditionalFormatting sqref="F139">
    <cfRule type="cellIs" dxfId="4" priority="941" operator="greaterThanOrEqual">
      <formula>0</formula>
    </cfRule>
  </conditionalFormatting>
  <conditionalFormatting sqref="F139">
    <cfRule type="cellIs" dxfId="5" priority="942" operator="lessThan">
      <formula>-4100</formula>
    </cfRule>
  </conditionalFormatting>
  <conditionalFormatting sqref="F139">
    <cfRule type="cellIs" dxfId="4" priority="943" operator="greaterThanOrEqual">
      <formula>0</formula>
    </cfRule>
  </conditionalFormatting>
  <conditionalFormatting sqref="F139">
    <cfRule type="cellIs" dxfId="5" priority="944" operator="lessThan">
      <formula>-4100</formula>
    </cfRule>
  </conditionalFormatting>
  <conditionalFormatting sqref="F139">
    <cfRule type="cellIs" dxfId="4" priority="945" operator="greaterThanOrEqual">
      <formula>0</formula>
    </cfRule>
  </conditionalFormatting>
  <conditionalFormatting sqref="F139">
    <cfRule type="cellIs" dxfId="5" priority="946" operator="lessThan">
      <formula>-4100</formula>
    </cfRule>
  </conditionalFormatting>
  <conditionalFormatting sqref="F139">
    <cfRule type="cellIs" dxfId="4" priority="947" operator="greaterThanOrEqual">
      <formula>0</formula>
    </cfRule>
  </conditionalFormatting>
  <conditionalFormatting sqref="F139">
    <cfRule type="cellIs" dxfId="5" priority="948" operator="lessThan">
      <formula>-4100</formula>
    </cfRule>
  </conditionalFormatting>
  <conditionalFormatting sqref="F139">
    <cfRule type="cellIs" dxfId="5" priority="949" operator="lessThan">
      <formula>-4100</formula>
    </cfRule>
  </conditionalFormatting>
  <conditionalFormatting sqref="F139">
    <cfRule type="cellIs" dxfId="4" priority="950" operator="greaterThanOrEqual">
      <formula>0</formula>
    </cfRule>
  </conditionalFormatting>
  <conditionalFormatting sqref="F139">
    <cfRule type="cellIs" dxfId="4" priority="951" operator="greaterThanOrEqual">
      <formula>0</formula>
    </cfRule>
  </conditionalFormatting>
  <conditionalFormatting sqref="F139">
    <cfRule type="cellIs" dxfId="5" priority="952" operator="lessThan">
      <formula>-4100</formula>
    </cfRule>
  </conditionalFormatting>
  <conditionalFormatting sqref="F139">
    <cfRule type="cellIs" dxfId="4" priority="953" operator="greaterThanOrEqual">
      <formula>0</formula>
    </cfRule>
  </conditionalFormatting>
  <conditionalFormatting sqref="F139">
    <cfRule type="cellIs" dxfId="5" priority="954" operator="lessThan">
      <formula>-4100</formula>
    </cfRule>
  </conditionalFormatting>
  <conditionalFormatting sqref="E139">
    <cfRule type="cellIs" dxfId="6" priority="955" operator="greaterThan">
      <formula>0</formula>
    </cfRule>
  </conditionalFormatting>
  <conditionalFormatting sqref="F189">
    <cfRule type="cellIs" dxfId="4" priority="956" operator="greaterThanOrEqual">
      <formula>0</formula>
    </cfRule>
  </conditionalFormatting>
  <conditionalFormatting sqref="F189">
    <cfRule type="cellIs" dxfId="5" priority="957" operator="lessThan">
      <formula>-4100</formula>
    </cfRule>
  </conditionalFormatting>
  <conditionalFormatting sqref="F189">
    <cfRule type="cellIs" dxfId="4" priority="958" operator="greaterThanOrEqual">
      <formula>0</formula>
    </cfRule>
  </conditionalFormatting>
  <conditionalFormatting sqref="F189">
    <cfRule type="cellIs" dxfId="5" priority="959" operator="lessThan">
      <formula>-4100</formula>
    </cfRule>
  </conditionalFormatting>
  <conditionalFormatting sqref="E189">
    <cfRule type="cellIs" dxfId="6" priority="960" operator="greaterThan">
      <formula>0</formula>
    </cfRule>
  </conditionalFormatting>
  <conditionalFormatting sqref="F189">
    <cfRule type="cellIs" dxfId="4" priority="961" operator="greaterThanOrEqual">
      <formula>0</formula>
    </cfRule>
  </conditionalFormatting>
  <conditionalFormatting sqref="F189">
    <cfRule type="cellIs" dxfId="5" priority="962" operator="lessThan">
      <formula>-4100</formula>
    </cfRule>
  </conditionalFormatting>
  <conditionalFormatting sqref="F189">
    <cfRule type="cellIs" dxfId="4" priority="963" operator="greaterThanOrEqual">
      <formula>0</formula>
    </cfRule>
  </conditionalFormatting>
  <conditionalFormatting sqref="F189">
    <cfRule type="cellIs" dxfId="5" priority="964" operator="lessThan">
      <formula>-4100</formula>
    </cfRule>
  </conditionalFormatting>
  <conditionalFormatting sqref="F189">
    <cfRule type="cellIs" dxfId="4" priority="965" operator="greaterThanOrEqual">
      <formula>0</formula>
    </cfRule>
  </conditionalFormatting>
  <conditionalFormatting sqref="F189">
    <cfRule type="cellIs" dxfId="5" priority="966" operator="lessThan">
      <formula>-4100</formula>
    </cfRule>
  </conditionalFormatting>
  <conditionalFormatting sqref="F189">
    <cfRule type="cellIs" dxfId="4" priority="967" operator="greaterThanOrEqual">
      <formula>0</formula>
    </cfRule>
  </conditionalFormatting>
  <conditionalFormatting sqref="F189">
    <cfRule type="cellIs" dxfId="5" priority="968" operator="lessThan">
      <formula>-4100</formula>
    </cfRule>
  </conditionalFormatting>
  <conditionalFormatting sqref="F189">
    <cfRule type="cellIs" dxfId="4" priority="969" operator="greaterThanOrEqual">
      <formula>0</formula>
    </cfRule>
  </conditionalFormatting>
  <conditionalFormatting sqref="F189">
    <cfRule type="cellIs" dxfId="5" priority="970" operator="lessThan">
      <formula>-4100</formula>
    </cfRule>
  </conditionalFormatting>
  <conditionalFormatting sqref="F189">
    <cfRule type="cellIs" dxfId="4" priority="971" operator="greaterThanOrEqual">
      <formula>0</formula>
    </cfRule>
  </conditionalFormatting>
  <conditionalFormatting sqref="F189">
    <cfRule type="cellIs" dxfId="5" priority="972" operator="lessThan">
      <formula>-4100</formula>
    </cfRule>
  </conditionalFormatting>
  <conditionalFormatting sqref="F29">
    <cfRule type="cellIs" dxfId="5" priority="973" operator="lessThan">
      <formula>-4100</formula>
    </cfRule>
  </conditionalFormatting>
  <conditionalFormatting sqref="F29">
    <cfRule type="cellIs" dxfId="4" priority="974" operator="greaterThanOrEqual">
      <formula>0</formula>
    </cfRule>
  </conditionalFormatting>
  <conditionalFormatting sqref="F29">
    <cfRule type="cellIs" dxfId="4" priority="975" operator="greaterThanOrEqual">
      <formula>0</formula>
    </cfRule>
  </conditionalFormatting>
  <conditionalFormatting sqref="F29">
    <cfRule type="cellIs" dxfId="5" priority="976" operator="lessThan">
      <formula>-4100</formula>
    </cfRule>
  </conditionalFormatting>
  <conditionalFormatting sqref="F29">
    <cfRule type="cellIs" dxfId="4" priority="977" operator="greaterThanOrEqual">
      <formula>0</formula>
    </cfRule>
  </conditionalFormatting>
  <conditionalFormatting sqref="F29">
    <cfRule type="cellIs" dxfId="5" priority="978" operator="lessThan">
      <formula>-4100</formula>
    </cfRule>
  </conditionalFormatting>
  <conditionalFormatting sqref="F29">
    <cfRule type="cellIs" dxfId="4" priority="979" operator="greaterThanOrEqual">
      <formula>0</formula>
    </cfRule>
  </conditionalFormatting>
  <conditionalFormatting sqref="F29">
    <cfRule type="cellIs" dxfId="5" priority="980" operator="lessThan">
      <formula>-4100</formula>
    </cfRule>
  </conditionalFormatting>
  <conditionalFormatting sqref="F29">
    <cfRule type="cellIs" dxfId="4" priority="981" operator="greaterThanOrEqual">
      <formula>0</formula>
    </cfRule>
  </conditionalFormatting>
  <conditionalFormatting sqref="F29">
    <cfRule type="cellIs" dxfId="5" priority="982" operator="lessThan">
      <formula>-4100</formula>
    </cfRule>
  </conditionalFormatting>
  <conditionalFormatting sqref="F29">
    <cfRule type="cellIs" dxfId="5" priority="983" operator="lessThan">
      <formula>-4100</formula>
    </cfRule>
  </conditionalFormatting>
  <conditionalFormatting sqref="F29">
    <cfRule type="cellIs" dxfId="4" priority="984" operator="greaterThanOrEqual">
      <formula>0</formula>
    </cfRule>
  </conditionalFormatting>
  <conditionalFormatting sqref="F29">
    <cfRule type="cellIs" dxfId="4" priority="985" operator="greaterThanOrEqual">
      <formula>0</formula>
    </cfRule>
  </conditionalFormatting>
  <conditionalFormatting sqref="F29">
    <cfRule type="cellIs" dxfId="5" priority="986" operator="lessThan">
      <formula>-4100</formula>
    </cfRule>
  </conditionalFormatting>
  <conditionalFormatting sqref="F29">
    <cfRule type="cellIs" dxfId="4" priority="987" operator="greaterThanOrEqual">
      <formula>0</formula>
    </cfRule>
  </conditionalFormatting>
  <conditionalFormatting sqref="F29">
    <cfRule type="cellIs" dxfId="5" priority="988" operator="lessThan">
      <formula>-4100</formula>
    </cfRule>
  </conditionalFormatting>
  <conditionalFormatting sqref="E29">
    <cfRule type="cellIs" dxfId="6" priority="989" operator="greaterThan">
      <formula>0</formula>
    </cfRule>
  </conditionalFormatting>
  <conditionalFormatting sqref="F325">
    <cfRule type="cellIs" dxfId="5" priority="990" operator="lessThan">
      <formula>-4100</formula>
    </cfRule>
  </conditionalFormatting>
  <conditionalFormatting sqref="F325">
    <cfRule type="cellIs" dxfId="4" priority="991" operator="greaterThanOrEqual">
      <formula>0</formula>
    </cfRule>
  </conditionalFormatting>
  <conditionalFormatting sqref="F325">
    <cfRule type="cellIs" dxfId="4" priority="992" operator="greaterThanOrEqual">
      <formula>0</formula>
    </cfRule>
  </conditionalFormatting>
  <conditionalFormatting sqref="F325">
    <cfRule type="cellIs" dxfId="5" priority="993" operator="lessThan">
      <formula>-4100</formula>
    </cfRule>
  </conditionalFormatting>
  <conditionalFormatting sqref="F325">
    <cfRule type="cellIs" dxfId="4" priority="994" operator="greaterThanOrEqual">
      <formula>0</formula>
    </cfRule>
  </conditionalFormatting>
  <conditionalFormatting sqref="F325">
    <cfRule type="cellIs" dxfId="5" priority="995" operator="lessThan">
      <formula>-4100</formula>
    </cfRule>
  </conditionalFormatting>
  <conditionalFormatting sqref="F325">
    <cfRule type="cellIs" dxfId="4" priority="996" operator="greaterThanOrEqual">
      <formula>0</formula>
    </cfRule>
  </conditionalFormatting>
  <conditionalFormatting sqref="F325">
    <cfRule type="cellIs" dxfId="5" priority="997" operator="lessThan">
      <formula>-4100</formula>
    </cfRule>
  </conditionalFormatting>
  <conditionalFormatting sqref="E325">
    <cfRule type="cellIs" dxfId="6" priority="998" operator="greaterThan">
      <formula>0</formula>
    </cfRule>
  </conditionalFormatting>
  <conditionalFormatting sqref="F330">
    <cfRule type="cellIs" dxfId="5" priority="999" operator="lessThan">
      <formula>-4100</formula>
    </cfRule>
  </conditionalFormatting>
  <conditionalFormatting sqref="F330">
    <cfRule type="cellIs" dxfId="4" priority="1000" operator="greaterThanOrEqual">
      <formula>0</formula>
    </cfRule>
  </conditionalFormatting>
  <conditionalFormatting sqref="F330">
    <cfRule type="cellIs" dxfId="4" priority="1001" operator="greaterThanOrEqual">
      <formula>0</formula>
    </cfRule>
  </conditionalFormatting>
  <conditionalFormatting sqref="F330">
    <cfRule type="cellIs" dxfId="5" priority="1002" operator="lessThan">
      <formula>-4100</formula>
    </cfRule>
  </conditionalFormatting>
  <conditionalFormatting sqref="F330">
    <cfRule type="cellIs" dxfId="4" priority="1003" operator="greaterThanOrEqual">
      <formula>0</formula>
    </cfRule>
  </conditionalFormatting>
  <conditionalFormatting sqref="F330">
    <cfRule type="cellIs" dxfId="5" priority="1004" operator="lessThan">
      <formula>-4100</formula>
    </cfRule>
  </conditionalFormatting>
  <conditionalFormatting sqref="F330">
    <cfRule type="cellIs" dxfId="4" priority="1005" operator="greaterThanOrEqual">
      <formula>0</formula>
    </cfRule>
  </conditionalFormatting>
  <conditionalFormatting sqref="F330">
    <cfRule type="cellIs" dxfId="5" priority="1006" operator="lessThan">
      <formula>-4100</formula>
    </cfRule>
  </conditionalFormatting>
  <conditionalFormatting sqref="E330">
    <cfRule type="cellIs" dxfId="6" priority="1007" operator="greaterThan">
      <formula>0</formula>
    </cfRule>
  </conditionalFormatting>
  <conditionalFormatting sqref="F39">
    <cfRule type="cellIs" dxfId="5" priority="1008" operator="lessThan">
      <formula>-4100</formula>
    </cfRule>
  </conditionalFormatting>
  <conditionalFormatting sqref="F39">
    <cfRule type="cellIs" dxfId="4" priority="1009" operator="greaterThanOrEqual">
      <formula>0</formula>
    </cfRule>
  </conditionalFormatting>
  <conditionalFormatting sqref="F39">
    <cfRule type="cellIs" dxfId="4" priority="1010" operator="greaterThanOrEqual">
      <formula>0</formula>
    </cfRule>
  </conditionalFormatting>
  <conditionalFormatting sqref="F39">
    <cfRule type="cellIs" dxfId="5" priority="1011" operator="lessThan">
      <formula>-4100</formula>
    </cfRule>
  </conditionalFormatting>
  <conditionalFormatting sqref="F39">
    <cfRule type="cellIs" dxfId="4" priority="1012" operator="greaterThanOrEqual">
      <formula>0</formula>
    </cfRule>
  </conditionalFormatting>
  <conditionalFormatting sqref="F39">
    <cfRule type="cellIs" dxfId="5" priority="1013" operator="lessThan">
      <formula>-4100</formula>
    </cfRule>
  </conditionalFormatting>
  <conditionalFormatting sqref="F39">
    <cfRule type="cellIs" dxfId="4" priority="1014" operator="greaterThanOrEqual">
      <formula>0</formula>
    </cfRule>
  </conditionalFormatting>
  <conditionalFormatting sqref="F39">
    <cfRule type="cellIs" dxfId="5" priority="1015" operator="lessThan">
      <formula>-4100</formula>
    </cfRule>
  </conditionalFormatting>
  <conditionalFormatting sqref="F39">
    <cfRule type="cellIs" dxfId="4" priority="1016" operator="greaterThanOrEqual">
      <formula>0</formula>
    </cfRule>
  </conditionalFormatting>
  <conditionalFormatting sqref="F39">
    <cfRule type="cellIs" dxfId="5" priority="1017" operator="lessThan">
      <formula>-4100</formula>
    </cfRule>
  </conditionalFormatting>
  <conditionalFormatting sqref="F39">
    <cfRule type="cellIs" dxfId="5" priority="1018" operator="lessThan">
      <formula>-4100</formula>
    </cfRule>
  </conditionalFormatting>
  <conditionalFormatting sqref="F39">
    <cfRule type="cellIs" dxfId="4" priority="1019" operator="greaterThanOrEqual">
      <formula>0</formula>
    </cfRule>
  </conditionalFormatting>
  <conditionalFormatting sqref="F39">
    <cfRule type="cellIs" dxfId="4" priority="1020" operator="greaterThanOrEqual">
      <formula>0</formula>
    </cfRule>
  </conditionalFormatting>
  <conditionalFormatting sqref="F39">
    <cfRule type="cellIs" dxfId="5" priority="1021" operator="lessThan">
      <formula>-4100</formula>
    </cfRule>
  </conditionalFormatting>
  <conditionalFormatting sqref="F39">
    <cfRule type="cellIs" dxfId="4" priority="1022" operator="greaterThanOrEqual">
      <formula>0</formula>
    </cfRule>
  </conditionalFormatting>
  <conditionalFormatting sqref="F39">
    <cfRule type="cellIs" dxfId="5" priority="1023" operator="lessThan">
      <formula>-4100</formula>
    </cfRule>
  </conditionalFormatting>
  <conditionalFormatting sqref="E39">
    <cfRule type="cellIs" dxfId="6" priority="1024" operator="greaterThan">
      <formula>0</formula>
    </cfRule>
  </conditionalFormatting>
  <conditionalFormatting sqref="F184">
    <cfRule type="cellIs" dxfId="4" priority="1025" operator="greaterThanOrEqual">
      <formula>0</formula>
    </cfRule>
  </conditionalFormatting>
  <conditionalFormatting sqref="F184">
    <cfRule type="cellIs" dxfId="5" priority="1026" operator="lessThan">
      <formula>-4100</formula>
    </cfRule>
  </conditionalFormatting>
  <conditionalFormatting sqref="F184">
    <cfRule type="cellIs" dxfId="4" priority="1027" operator="greaterThanOrEqual">
      <formula>0</formula>
    </cfRule>
  </conditionalFormatting>
  <conditionalFormatting sqref="F184">
    <cfRule type="cellIs" dxfId="5" priority="1028" operator="lessThan">
      <formula>-4100</formula>
    </cfRule>
  </conditionalFormatting>
  <conditionalFormatting sqref="E184">
    <cfRule type="cellIs" dxfId="6" priority="1029" operator="greaterThan">
      <formula>0</formula>
    </cfRule>
  </conditionalFormatting>
  <conditionalFormatting sqref="F184">
    <cfRule type="cellIs" dxfId="4" priority="1030" operator="greaterThanOrEqual">
      <formula>0</formula>
    </cfRule>
  </conditionalFormatting>
  <conditionalFormatting sqref="F184">
    <cfRule type="cellIs" dxfId="5" priority="1031" operator="lessThan">
      <formula>-4100</formula>
    </cfRule>
  </conditionalFormatting>
  <conditionalFormatting sqref="F184">
    <cfRule type="cellIs" dxfId="4" priority="1032" operator="greaterThanOrEqual">
      <formula>0</formula>
    </cfRule>
  </conditionalFormatting>
  <conditionalFormatting sqref="F184">
    <cfRule type="cellIs" dxfId="5" priority="1033" operator="lessThan">
      <formula>-4100</formula>
    </cfRule>
  </conditionalFormatting>
  <conditionalFormatting sqref="F184">
    <cfRule type="cellIs" dxfId="4" priority="1034" operator="greaterThanOrEqual">
      <formula>0</formula>
    </cfRule>
  </conditionalFormatting>
  <conditionalFormatting sqref="F184">
    <cfRule type="cellIs" dxfId="5" priority="1035" operator="lessThan">
      <formula>-4100</formula>
    </cfRule>
  </conditionalFormatting>
  <conditionalFormatting sqref="F184">
    <cfRule type="cellIs" dxfId="4" priority="1036" operator="greaterThanOrEqual">
      <formula>0</formula>
    </cfRule>
  </conditionalFormatting>
  <conditionalFormatting sqref="F184">
    <cfRule type="cellIs" dxfId="5" priority="1037" operator="lessThan">
      <formula>-4100</formula>
    </cfRule>
  </conditionalFormatting>
  <conditionalFormatting sqref="F184">
    <cfRule type="cellIs" dxfId="4" priority="1038" operator="greaterThanOrEqual">
      <formula>0</formula>
    </cfRule>
  </conditionalFormatting>
  <conditionalFormatting sqref="F184">
    <cfRule type="cellIs" dxfId="5" priority="1039" operator="lessThan">
      <formula>-4100</formula>
    </cfRule>
  </conditionalFormatting>
  <conditionalFormatting sqref="F184">
    <cfRule type="cellIs" dxfId="4" priority="1040" operator="greaterThanOrEqual">
      <formula>0</formula>
    </cfRule>
  </conditionalFormatting>
  <conditionalFormatting sqref="F184">
    <cfRule type="cellIs" dxfId="5" priority="1041" operator="lessThan">
      <formula>-4100</formula>
    </cfRule>
  </conditionalFormatting>
  <conditionalFormatting sqref="F134">
    <cfRule type="cellIs" dxfId="5" priority="1042" operator="lessThan">
      <formula>-4100</formula>
    </cfRule>
  </conditionalFormatting>
  <conditionalFormatting sqref="F134">
    <cfRule type="cellIs" dxfId="4" priority="1043" operator="greaterThanOrEqual">
      <formula>0</formula>
    </cfRule>
  </conditionalFormatting>
  <conditionalFormatting sqref="F134">
    <cfRule type="cellIs" dxfId="4" priority="1044" operator="greaterThanOrEqual">
      <formula>0</formula>
    </cfRule>
  </conditionalFormatting>
  <conditionalFormatting sqref="F134">
    <cfRule type="cellIs" dxfId="5" priority="1045" operator="lessThan">
      <formula>-4100</formula>
    </cfRule>
  </conditionalFormatting>
  <conditionalFormatting sqref="F134">
    <cfRule type="cellIs" dxfId="4" priority="1046" operator="greaterThanOrEqual">
      <formula>0</formula>
    </cfRule>
  </conditionalFormatting>
  <conditionalFormatting sqref="F134">
    <cfRule type="cellIs" dxfId="5" priority="1047" operator="lessThan">
      <formula>-4100</formula>
    </cfRule>
  </conditionalFormatting>
  <conditionalFormatting sqref="F134">
    <cfRule type="cellIs" dxfId="4" priority="1048" operator="greaterThanOrEqual">
      <formula>0</formula>
    </cfRule>
  </conditionalFormatting>
  <conditionalFormatting sqref="F134">
    <cfRule type="cellIs" dxfId="5" priority="1049" operator="lessThan">
      <formula>-4100</formula>
    </cfRule>
  </conditionalFormatting>
  <conditionalFormatting sqref="F134">
    <cfRule type="cellIs" dxfId="4" priority="1050" operator="greaterThanOrEqual">
      <formula>0</formula>
    </cfRule>
  </conditionalFormatting>
  <conditionalFormatting sqref="F134">
    <cfRule type="cellIs" dxfId="5" priority="1051" operator="lessThan">
      <formula>-4100</formula>
    </cfRule>
  </conditionalFormatting>
  <conditionalFormatting sqref="F134">
    <cfRule type="cellIs" dxfId="5" priority="1052" operator="lessThan">
      <formula>-4100</formula>
    </cfRule>
  </conditionalFormatting>
  <conditionalFormatting sqref="F134">
    <cfRule type="cellIs" dxfId="4" priority="1053" operator="greaterThanOrEqual">
      <formula>0</formula>
    </cfRule>
  </conditionalFormatting>
  <conditionalFormatting sqref="F134">
    <cfRule type="cellIs" dxfId="4" priority="1054" operator="greaterThanOrEqual">
      <formula>0</formula>
    </cfRule>
  </conditionalFormatting>
  <conditionalFormatting sqref="F134">
    <cfRule type="cellIs" dxfId="5" priority="1055" operator="lessThan">
      <formula>-4100</formula>
    </cfRule>
  </conditionalFormatting>
  <conditionalFormatting sqref="F134">
    <cfRule type="cellIs" dxfId="4" priority="1056" operator="greaterThanOrEqual">
      <formula>0</formula>
    </cfRule>
  </conditionalFormatting>
  <conditionalFormatting sqref="F134">
    <cfRule type="cellIs" dxfId="5" priority="1057" operator="lessThan">
      <formula>-4100</formula>
    </cfRule>
  </conditionalFormatting>
  <conditionalFormatting sqref="E134">
    <cfRule type="cellIs" dxfId="6" priority="1058" operator="greaterThan">
      <formula>0</formula>
    </cfRule>
  </conditionalFormatting>
  <conditionalFormatting sqref="H15">
    <cfRule type="expression" dxfId="0" priority="1059">
      <formula>H15&lt;($D$3-6%)</formula>
    </cfRule>
  </conditionalFormatting>
  <conditionalFormatting sqref="H15">
    <cfRule type="expression" dxfId="1" priority="1060">
      <formula>H15&gt;($D$3+6%)</formula>
    </cfRule>
  </conditionalFormatting>
  <conditionalFormatting sqref="H15">
    <cfRule type="expression" dxfId="2" priority="1061">
      <formula>H15&lt;($D$3-3%)</formula>
    </cfRule>
  </conditionalFormatting>
  <conditionalFormatting sqref="H15">
    <cfRule type="expression" dxfId="3" priority="1062">
      <formula>H15&gt;($D$3+3%)</formula>
    </cfRule>
  </conditionalFormatting>
  <conditionalFormatting sqref="H16">
    <cfRule type="expression" dxfId="0" priority="1063">
      <formula>H16&lt;($D$3-6%)</formula>
    </cfRule>
  </conditionalFormatting>
  <conditionalFormatting sqref="H16">
    <cfRule type="expression" dxfId="1" priority="1064">
      <formula>H16&gt;($D$3+6%)</formula>
    </cfRule>
  </conditionalFormatting>
  <conditionalFormatting sqref="H16">
    <cfRule type="expression" dxfId="2" priority="1065">
      <formula>H16&lt;($D$3-3%)</formula>
    </cfRule>
  </conditionalFormatting>
  <conditionalFormatting sqref="H16">
    <cfRule type="expression" dxfId="3" priority="1066">
      <formula>H16&gt;($D$3+3%)</formula>
    </cfRule>
  </conditionalFormatting>
  <conditionalFormatting sqref="F19">
    <cfRule type="cellIs" dxfId="5" priority="1067" operator="lessThan">
      <formula>-4100</formula>
    </cfRule>
  </conditionalFormatting>
  <conditionalFormatting sqref="F19">
    <cfRule type="cellIs" dxfId="4" priority="1068" operator="greaterThanOrEqual">
      <formula>0</formula>
    </cfRule>
  </conditionalFormatting>
  <conditionalFormatting sqref="F19">
    <cfRule type="cellIs" dxfId="4" priority="1069" operator="greaterThanOrEqual">
      <formula>0</formula>
    </cfRule>
  </conditionalFormatting>
  <conditionalFormatting sqref="F19">
    <cfRule type="cellIs" dxfId="5" priority="1070" operator="lessThan">
      <formula>-4100</formula>
    </cfRule>
  </conditionalFormatting>
  <conditionalFormatting sqref="F19">
    <cfRule type="cellIs" dxfId="4" priority="1071" operator="greaterThanOrEqual">
      <formula>0</formula>
    </cfRule>
  </conditionalFormatting>
  <conditionalFormatting sqref="F19">
    <cfRule type="cellIs" dxfId="5" priority="1072" operator="lessThan">
      <formula>-4100</formula>
    </cfRule>
  </conditionalFormatting>
  <conditionalFormatting sqref="F19">
    <cfRule type="cellIs" dxfId="4" priority="1073" operator="greaterThanOrEqual">
      <formula>0</formula>
    </cfRule>
  </conditionalFormatting>
  <conditionalFormatting sqref="F19">
    <cfRule type="cellIs" dxfId="5" priority="1074" operator="lessThan">
      <formula>-4100</formula>
    </cfRule>
  </conditionalFormatting>
  <conditionalFormatting sqref="F19">
    <cfRule type="cellIs" dxfId="4" priority="1075" operator="greaterThanOrEqual">
      <formula>0</formula>
    </cfRule>
  </conditionalFormatting>
  <conditionalFormatting sqref="F19">
    <cfRule type="cellIs" dxfId="5" priority="1076" operator="lessThan">
      <formula>-4100</formula>
    </cfRule>
  </conditionalFormatting>
  <conditionalFormatting sqref="F19">
    <cfRule type="cellIs" dxfId="5" priority="1077" operator="lessThan">
      <formula>-4100</formula>
    </cfRule>
  </conditionalFormatting>
  <conditionalFormatting sqref="F19">
    <cfRule type="cellIs" dxfId="4" priority="1078" operator="greaterThanOrEqual">
      <formula>0</formula>
    </cfRule>
  </conditionalFormatting>
  <conditionalFormatting sqref="F19">
    <cfRule type="cellIs" dxfId="4" priority="1079" operator="greaterThanOrEqual">
      <formula>0</formula>
    </cfRule>
  </conditionalFormatting>
  <conditionalFormatting sqref="F19">
    <cfRule type="cellIs" dxfId="5" priority="1080" operator="lessThan">
      <formula>-4100</formula>
    </cfRule>
  </conditionalFormatting>
  <conditionalFormatting sqref="F19">
    <cfRule type="cellIs" dxfId="4" priority="1081" operator="greaterThanOrEqual">
      <formula>0</formula>
    </cfRule>
  </conditionalFormatting>
  <conditionalFormatting sqref="F19">
    <cfRule type="cellIs" dxfId="5" priority="1082" operator="lessThan">
      <formula>-4100</formula>
    </cfRule>
  </conditionalFormatting>
  <conditionalFormatting sqref="E19">
    <cfRule type="cellIs" dxfId="6" priority="1083" operator="greaterThan">
      <formula>0</formula>
    </cfRule>
  </conditionalFormatting>
  <conditionalFormatting sqref="F34">
    <cfRule type="cellIs" dxfId="5" priority="1084" operator="lessThan">
      <formula>-4100</formula>
    </cfRule>
  </conditionalFormatting>
  <conditionalFormatting sqref="F34">
    <cfRule type="cellIs" dxfId="4" priority="1085" operator="greaterThanOrEqual">
      <formula>0</formula>
    </cfRule>
  </conditionalFormatting>
  <conditionalFormatting sqref="F34">
    <cfRule type="cellIs" dxfId="4" priority="1086" operator="greaterThanOrEqual">
      <formula>0</formula>
    </cfRule>
  </conditionalFormatting>
  <conditionalFormatting sqref="F34">
    <cfRule type="cellIs" dxfId="5" priority="1087" operator="lessThan">
      <formula>-4100</formula>
    </cfRule>
  </conditionalFormatting>
  <conditionalFormatting sqref="F34">
    <cfRule type="cellIs" dxfId="4" priority="1088" operator="greaterThanOrEqual">
      <formula>0</formula>
    </cfRule>
  </conditionalFormatting>
  <conditionalFormatting sqref="F34">
    <cfRule type="cellIs" dxfId="5" priority="1089" operator="lessThan">
      <formula>-4100</formula>
    </cfRule>
  </conditionalFormatting>
  <conditionalFormatting sqref="F34">
    <cfRule type="cellIs" dxfId="4" priority="1090" operator="greaterThanOrEqual">
      <formula>0</formula>
    </cfRule>
  </conditionalFormatting>
  <conditionalFormatting sqref="F34">
    <cfRule type="cellIs" dxfId="5" priority="1091" operator="lessThan">
      <formula>-4100</formula>
    </cfRule>
  </conditionalFormatting>
  <conditionalFormatting sqref="F34">
    <cfRule type="cellIs" dxfId="4" priority="1092" operator="greaterThanOrEqual">
      <formula>0</formula>
    </cfRule>
  </conditionalFormatting>
  <conditionalFormatting sqref="F34">
    <cfRule type="cellIs" dxfId="5" priority="1093" operator="lessThan">
      <formula>-4100</formula>
    </cfRule>
  </conditionalFormatting>
  <conditionalFormatting sqref="F34">
    <cfRule type="cellIs" dxfId="5" priority="1094" operator="lessThan">
      <formula>-4100</formula>
    </cfRule>
  </conditionalFormatting>
  <conditionalFormatting sqref="F34">
    <cfRule type="cellIs" dxfId="4" priority="1095" operator="greaterThanOrEqual">
      <formula>0</formula>
    </cfRule>
  </conditionalFormatting>
  <conditionalFormatting sqref="F34">
    <cfRule type="cellIs" dxfId="4" priority="1096" operator="greaterThanOrEqual">
      <formula>0</formula>
    </cfRule>
  </conditionalFormatting>
  <conditionalFormatting sqref="F34">
    <cfRule type="cellIs" dxfId="5" priority="1097" operator="lessThan">
      <formula>-4100</formula>
    </cfRule>
  </conditionalFormatting>
  <conditionalFormatting sqref="F34">
    <cfRule type="cellIs" dxfId="4" priority="1098" operator="greaterThanOrEqual">
      <formula>0</formula>
    </cfRule>
  </conditionalFormatting>
  <conditionalFormatting sqref="F34">
    <cfRule type="cellIs" dxfId="5" priority="1099" operator="lessThan">
      <formula>-4100</formula>
    </cfRule>
  </conditionalFormatting>
  <conditionalFormatting sqref="E34">
    <cfRule type="cellIs" dxfId="6" priority="1100" operator="greaterThan">
      <formula>0</formula>
    </cfRule>
  </conditionalFormatting>
  <conditionalFormatting sqref="F69">
    <cfRule type="cellIs" dxfId="5" priority="1101" operator="lessThan">
      <formula>-4100</formula>
    </cfRule>
  </conditionalFormatting>
  <conditionalFormatting sqref="F69">
    <cfRule type="cellIs" dxfId="4" priority="1102" operator="greaterThanOrEqual">
      <formula>0</formula>
    </cfRule>
  </conditionalFormatting>
  <conditionalFormatting sqref="F69">
    <cfRule type="cellIs" dxfId="4" priority="1103" operator="greaterThanOrEqual">
      <formula>0</formula>
    </cfRule>
  </conditionalFormatting>
  <conditionalFormatting sqref="F69">
    <cfRule type="cellIs" dxfId="5" priority="1104" operator="lessThan">
      <formula>-4100</formula>
    </cfRule>
  </conditionalFormatting>
  <conditionalFormatting sqref="F69">
    <cfRule type="cellIs" dxfId="4" priority="1105" operator="greaterThanOrEqual">
      <formula>0</formula>
    </cfRule>
  </conditionalFormatting>
  <conditionalFormatting sqref="F69">
    <cfRule type="cellIs" dxfId="5" priority="1106" operator="lessThan">
      <formula>-4100</formula>
    </cfRule>
  </conditionalFormatting>
  <conditionalFormatting sqref="F69">
    <cfRule type="cellIs" dxfId="4" priority="1107" operator="greaterThanOrEqual">
      <formula>0</formula>
    </cfRule>
  </conditionalFormatting>
  <conditionalFormatting sqref="F69">
    <cfRule type="cellIs" dxfId="5" priority="1108" operator="lessThan">
      <formula>-4100</formula>
    </cfRule>
  </conditionalFormatting>
  <conditionalFormatting sqref="F69">
    <cfRule type="cellIs" dxfId="4" priority="1109" operator="greaterThanOrEqual">
      <formula>0</formula>
    </cfRule>
  </conditionalFormatting>
  <conditionalFormatting sqref="F69">
    <cfRule type="cellIs" dxfId="5" priority="1110" operator="lessThan">
      <formula>-4100</formula>
    </cfRule>
  </conditionalFormatting>
  <conditionalFormatting sqref="F69">
    <cfRule type="cellIs" dxfId="5" priority="1111" operator="lessThan">
      <formula>-4100</formula>
    </cfRule>
  </conditionalFormatting>
  <conditionalFormatting sqref="F69">
    <cfRule type="cellIs" dxfId="4" priority="1112" operator="greaterThanOrEqual">
      <formula>0</formula>
    </cfRule>
  </conditionalFormatting>
  <conditionalFormatting sqref="F69">
    <cfRule type="cellIs" dxfId="4" priority="1113" operator="greaterThanOrEqual">
      <formula>0</formula>
    </cfRule>
  </conditionalFormatting>
  <conditionalFormatting sqref="F69">
    <cfRule type="cellIs" dxfId="5" priority="1114" operator="lessThan">
      <formula>-4100</formula>
    </cfRule>
  </conditionalFormatting>
  <conditionalFormatting sqref="F69">
    <cfRule type="cellIs" dxfId="4" priority="1115" operator="greaterThanOrEqual">
      <formula>0</formula>
    </cfRule>
  </conditionalFormatting>
  <conditionalFormatting sqref="F69">
    <cfRule type="cellIs" dxfId="5" priority="1116" operator="lessThan">
      <formula>-4100</formula>
    </cfRule>
  </conditionalFormatting>
  <conditionalFormatting sqref="E69">
    <cfRule type="cellIs" dxfId="6" priority="1117" operator="greaterThan">
      <formula>0</formula>
    </cfRule>
  </conditionalFormatting>
  <conditionalFormatting sqref="F199">
    <cfRule type="cellIs" dxfId="5" priority="1118" operator="lessThan">
      <formula>-4100</formula>
    </cfRule>
  </conditionalFormatting>
  <conditionalFormatting sqref="F199">
    <cfRule type="cellIs" dxfId="4" priority="1119" operator="greaterThanOrEqual">
      <formula>0</formula>
    </cfRule>
  </conditionalFormatting>
  <conditionalFormatting sqref="F199">
    <cfRule type="cellIs" dxfId="4" priority="1120" operator="greaterThanOrEqual">
      <formula>0</formula>
    </cfRule>
  </conditionalFormatting>
  <conditionalFormatting sqref="F199">
    <cfRule type="cellIs" dxfId="5" priority="1121" operator="lessThan">
      <formula>-4100</formula>
    </cfRule>
  </conditionalFormatting>
  <conditionalFormatting sqref="F199">
    <cfRule type="cellIs" dxfId="4" priority="1122" operator="greaterThanOrEqual">
      <formula>0</formula>
    </cfRule>
  </conditionalFormatting>
  <conditionalFormatting sqref="F199">
    <cfRule type="cellIs" dxfId="5" priority="1123" operator="lessThan">
      <formula>-4100</formula>
    </cfRule>
  </conditionalFormatting>
  <conditionalFormatting sqref="F199">
    <cfRule type="cellIs" dxfId="4" priority="1124" operator="greaterThanOrEqual">
      <formula>0</formula>
    </cfRule>
  </conditionalFormatting>
  <conditionalFormatting sqref="F199">
    <cfRule type="cellIs" dxfId="5" priority="1125" operator="lessThan">
      <formula>-4100</formula>
    </cfRule>
  </conditionalFormatting>
  <conditionalFormatting sqref="F199">
    <cfRule type="cellIs" dxfId="4" priority="1126" operator="greaterThanOrEqual">
      <formula>0</formula>
    </cfRule>
  </conditionalFormatting>
  <conditionalFormatting sqref="F199">
    <cfRule type="cellIs" dxfId="5" priority="1127" operator="lessThan">
      <formula>-4100</formula>
    </cfRule>
  </conditionalFormatting>
  <conditionalFormatting sqref="F199">
    <cfRule type="cellIs" dxfId="5" priority="1128" operator="lessThan">
      <formula>-4100</formula>
    </cfRule>
  </conditionalFormatting>
  <conditionalFormatting sqref="F199">
    <cfRule type="cellIs" dxfId="4" priority="1129" operator="greaterThanOrEqual">
      <formula>0</formula>
    </cfRule>
  </conditionalFormatting>
  <conditionalFormatting sqref="F199">
    <cfRule type="cellIs" dxfId="4" priority="1130" operator="greaterThanOrEqual">
      <formula>0</formula>
    </cfRule>
  </conditionalFormatting>
  <conditionalFormatting sqref="F199">
    <cfRule type="cellIs" dxfId="5" priority="1131" operator="lessThan">
      <formula>-4100</formula>
    </cfRule>
  </conditionalFormatting>
  <conditionalFormatting sqref="F199">
    <cfRule type="cellIs" dxfId="4" priority="1132" operator="greaterThanOrEqual">
      <formula>0</formula>
    </cfRule>
  </conditionalFormatting>
  <conditionalFormatting sqref="F199">
    <cfRule type="cellIs" dxfId="5" priority="1133" operator="lessThan">
      <formula>-4100</formula>
    </cfRule>
  </conditionalFormatting>
  <conditionalFormatting sqref="E199">
    <cfRule type="cellIs" dxfId="6" priority="1134" operator="greaterThan">
      <formula>0</formula>
    </cfRule>
  </conditionalFormatting>
  <conditionalFormatting sqref="F335">
    <cfRule type="cellIs" dxfId="5" priority="1135" operator="lessThan">
      <formula>-4100</formula>
    </cfRule>
  </conditionalFormatting>
  <conditionalFormatting sqref="F335">
    <cfRule type="cellIs" dxfId="4" priority="1136" operator="greaterThanOrEqual">
      <formula>0</formula>
    </cfRule>
  </conditionalFormatting>
  <conditionalFormatting sqref="F335">
    <cfRule type="cellIs" dxfId="4" priority="1137" operator="greaterThanOrEqual">
      <formula>0</formula>
    </cfRule>
  </conditionalFormatting>
  <conditionalFormatting sqref="F335">
    <cfRule type="cellIs" dxfId="5" priority="1138" operator="lessThan">
      <formula>-4100</formula>
    </cfRule>
  </conditionalFormatting>
  <conditionalFormatting sqref="F335">
    <cfRule type="cellIs" dxfId="4" priority="1139" operator="greaterThanOrEqual">
      <formula>0</formula>
    </cfRule>
  </conditionalFormatting>
  <conditionalFormatting sqref="F335">
    <cfRule type="cellIs" dxfId="5" priority="1140" operator="lessThan">
      <formula>-4100</formula>
    </cfRule>
  </conditionalFormatting>
  <conditionalFormatting sqref="F335">
    <cfRule type="cellIs" dxfId="4" priority="1141" operator="greaterThanOrEqual">
      <formula>0</formula>
    </cfRule>
  </conditionalFormatting>
  <conditionalFormatting sqref="F335">
    <cfRule type="cellIs" dxfId="5" priority="1142" operator="lessThan">
      <formula>-4100</formula>
    </cfRule>
  </conditionalFormatting>
  <conditionalFormatting sqref="E335">
    <cfRule type="cellIs" dxfId="6" priority="1143" operator="greaterThan">
      <formula>0</formula>
    </cfRule>
  </conditionalFormatting>
  <conditionalFormatting sqref="F340">
    <cfRule type="cellIs" dxfId="5" priority="1144" operator="lessThan">
      <formula>-4100</formula>
    </cfRule>
  </conditionalFormatting>
  <conditionalFormatting sqref="F340">
    <cfRule type="cellIs" dxfId="4" priority="1145" operator="greaterThanOrEqual">
      <formula>0</formula>
    </cfRule>
  </conditionalFormatting>
  <conditionalFormatting sqref="F340">
    <cfRule type="cellIs" dxfId="4" priority="1146" operator="greaterThanOrEqual">
      <formula>0</formula>
    </cfRule>
  </conditionalFormatting>
  <conditionalFormatting sqref="F340">
    <cfRule type="cellIs" dxfId="5" priority="1147" operator="lessThan">
      <formula>-4100</formula>
    </cfRule>
  </conditionalFormatting>
  <conditionalFormatting sqref="F340">
    <cfRule type="cellIs" dxfId="4" priority="1148" operator="greaterThanOrEqual">
      <formula>0</formula>
    </cfRule>
  </conditionalFormatting>
  <conditionalFormatting sqref="F340">
    <cfRule type="cellIs" dxfId="5" priority="1149" operator="lessThan">
      <formula>-4100</formula>
    </cfRule>
  </conditionalFormatting>
  <conditionalFormatting sqref="F340">
    <cfRule type="cellIs" dxfId="4" priority="1150" operator="greaterThanOrEqual">
      <formula>0</formula>
    </cfRule>
  </conditionalFormatting>
  <conditionalFormatting sqref="F340">
    <cfRule type="cellIs" dxfId="5" priority="1151" operator="lessThan">
      <formula>-4100</formula>
    </cfRule>
  </conditionalFormatting>
  <conditionalFormatting sqref="E340">
    <cfRule type="cellIs" dxfId="6" priority="1152" operator="greaterThan">
      <formula>0</formula>
    </cfRule>
  </conditionalFormatting>
  <conditionalFormatting sqref="F129">
    <cfRule type="cellIs" dxfId="5" priority="1153" operator="lessThan">
      <formula>-4100</formula>
    </cfRule>
  </conditionalFormatting>
  <conditionalFormatting sqref="F129">
    <cfRule type="cellIs" dxfId="4" priority="1154" operator="greaterThanOrEqual">
      <formula>0</formula>
    </cfRule>
  </conditionalFormatting>
  <conditionalFormatting sqref="F129">
    <cfRule type="cellIs" dxfId="4" priority="1155" operator="greaterThanOrEqual">
      <formula>0</formula>
    </cfRule>
  </conditionalFormatting>
  <conditionalFormatting sqref="F129">
    <cfRule type="cellIs" dxfId="5" priority="1156" operator="lessThan">
      <formula>-4100</formula>
    </cfRule>
  </conditionalFormatting>
  <conditionalFormatting sqref="F129">
    <cfRule type="cellIs" dxfId="4" priority="1157" operator="greaterThanOrEqual">
      <formula>0</formula>
    </cfRule>
  </conditionalFormatting>
  <conditionalFormatting sqref="F129">
    <cfRule type="cellIs" dxfId="5" priority="1158" operator="lessThan">
      <formula>-4100</formula>
    </cfRule>
  </conditionalFormatting>
  <conditionalFormatting sqref="F129">
    <cfRule type="cellIs" dxfId="4" priority="1159" operator="greaterThanOrEqual">
      <formula>0</formula>
    </cfRule>
  </conditionalFormatting>
  <conditionalFormatting sqref="F129">
    <cfRule type="cellIs" dxfId="5" priority="1160" operator="lessThan">
      <formula>-4100</formula>
    </cfRule>
  </conditionalFormatting>
  <conditionalFormatting sqref="F129">
    <cfRule type="cellIs" dxfId="4" priority="1161" operator="greaterThanOrEqual">
      <formula>0</formula>
    </cfRule>
  </conditionalFormatting>
  <conditionalFormatting sqref="F129">
    <cfRule type="cellIs" dxfId="5" priority="1162" operator="lessThan">
      <formula>-4100</formula>
    </cfRule>
  </conditionalFormatting>
  <conditionalFormatting sqref="F129">
    <cfRule type="cellIs" dxfId="5" priority="1163" operator="lessThan">
      <formula>-4100</formula>
    </cfRule>
  </conditionalFormatting>
  <conditionalFormatting sqref="F129">
    <cfRule type="cellIs" dxfId="4" priority="1164" operator="greaterThanOrEqual">
      <formula>0</formula>
    </cfRule>
  </conditionalFormatting>
  <conditionalFormatting sqref="F129">
    <cfRule type="cellIs" dxfId="4" priority="1165" operator="greaterThanOrEqual">
      <formula>0</formula>
    </cfRule>
  </conditionalFormatting>
  <conditionalFormatting sqref="F129">
    <cfRule type="cellIs" dxfId="5" priority="1166" operator="lessThan">
      <formula>-4100</formula>
    </cfRule>
  </conditionalFormatting>
  <conditionalFormatting sqref="F129">
    <cfRule type="cellIs" dxfId="4" priority="1167" operator="greaterThanOrEqual">
      <formula>0</formula>
    </cfRule>
  </conditionalFormatting>
  <conditionalFormatting sqref="F129">
    <cfRule type="cellIs" dxfId="5" priority="1168" operator="lessThan">
      <formula>-4100</formula>
    </cfRule>
  </conditionalFormatting>
  <conditionalFormatting sqref="E129">
    <cfRule type="cellIs" dxfId="6" priority="1169" operator="greaterThan">
      <formula>0</formula>
    </cfRule>
  </conditionalFormatting>
  <conditionalFormatting sqref="F345">
    <cfRule type="cellIs" dxfId="5" priority="1170" operator="lessThan">
      <formula>-4100</formula>
    </cfRule>
  </conditionalFormatting>
  <conditionalFormatting sqref="F345">
    <cfRule type="cellIs" dxfId="4" priority="1171" operator="greaterThanOrEqual">
      <formula>0</formula>
    </cfRule>
  </conditionalFormatting>
  <conditionalFormatting sqref="F345">
    <cfRule type="cellIs" dxfId="4" priority="1172" operator="greaterThanOrEqual">
      <formula>0</formula>
    </cfRule>
  </conditionalFormatting>
  <conditionalFormatting sqref="F345">
    <cfRule type="cellIs" dxfId="5" priority="1173" operator="lessThan">
      <formula>-4100</formula>
    </cfRule>
  </conditionalFormatting>
  <conditionalFormatting sqref="F345">
    <cfRule type="cellIs" dxfId="4" priority="1174" operator="greaterThanOrEqual">
      <formula>0</formula>
    </cfRule>
  </conditionalFormatting>
  <conditionalFormatting sqref="F345">
    <cfRule type="cellIs" dxfId="5" priority="1175" operator="lessThan">
      <formula>-4100</formula>
    </cfRule>
  </conditionalFormatting>
  <conditionalFormatting sqref="F345">
    <cfRule type="cellIs" dxfId="4" priority="1176" operator="greaterThanOrEqual">
      <formula>0</formula>
    </cfRule>
  </conditionalFormatting>
  <conditionalFormatting sqref="F345">
    <cfRule type="cellIs" dxfId="5" priority="1177" operator="lessThan">
      <formula>-4100</formula>
    </cfRule>
  </conditionalFormatting>
  <conditionalFormatting sqref="E345">
    <cfRule type="cellIs" dxfId="6" priority="1178" operator="greaterThan">
      <formula>0</formula>
    </cfRule>
  </conditionalFormatting>
  <conditionalFormatting sqref="F59">
    <cfRule type="cellIs" dxfId="5" priority="1179" operator="lessThan">
      <formula>-4100</formula>
    </cfRule>
  </conditionalFormatting>
  <conditionalFormatting sqref="F59">
    <cfRule type="cellIs" dxfId="4" priority="1180" operator="greaterThanOrEqual">
      <formula>0</formula>
    </cfRule>
  </conditionalFormatting>
  <conditionalFormatting sqref="F59">
    <cfRule type="cellIs" dxfId="4" priority="1181" operator="greaterThanOrEqual">
      <formula>0</formula>
    </cfRule>
  </conditionalFormatting>
  <conditionalFormatting sqref="F59">
    <cfRule type="cellIs" dxfId="5" priority="1182" operator="lessThan">
      <formula>-4100</formula>
    </cfRule>
  </conditionalFormatting>
  <conditionalFormatting sqref="F59">
    <cfRule type="cellIs" dxfId="4" priority="1183" operator="greaterThanOrEqual">
      <formula>0</formula>
    </cfRule>
  </conditionalFormatting>
  <conditionalFormatting sqref="F59">
    <cfRule type="cellIs" dxfId="5" priority="1184" operator="lessThan">
      <formula>-4100</formula>
    </cfRule>
  </conditionalFormatting>
  <conditionalFormatting sqref="F59">
    <cfRule type="cellIs" dxfId="4" priority="1185" operator="greaterThanOrEqual">
      <formula>0</formula>
    </cfRule>
  </conditionalFormatting>
  <conditionalFormatting sqref="F59">
    <cfRule type="cellIs" dxfId="5" priority="1186" operator="lessThan">
      <formula>-4100</formula>
    </cfRule>
  </conditionalFormatting>
  <conditionalFormatting sqref="F59">
    <cfRule type="cellIs" dxfId="4" priority="1187" operator="greaterThanOrEqual">
      <formula>0</formula>
    </cfRule>
  </conditionalFormatting>
  <conditionalFormatting sqref="F59">
    <cfRule type="cellIs" dxfId="5" priority="1188" operator="lessThan">
      <formula>-4100</formula>
    </cfRule>
  </conditionalFormatting>
  <conditionalFormatting sqref="F59">
    <cfRule type="cellIs" dxfId="5" priority="1189" operator="lessThan">
      <formula>-4100</formula>
    </cfRule>
  </conditionalFormatting>
  <conditionalFormatting sqref="F59">
    <cfRule type="cellIs" dxfId="4" priority="1190" operator="greaterThanOrEqual">
      <formula>0</formula>
    </cfRule>
  </conditionalFormatting>
  <conditionalFormatting sqref="F59">
    <cfRule type="cellIs" dxfId="4" priority="1191" operator="greaterThanOrEqual">
      <formula>0</formula>
    </cfRule>
  </conditionalFormatting>
  <conditionalFormatting sqref="F59">
    <cfRule type="cellIs" dxfId="5" priority="1192" operator="lessThan">
      <formula>-4100</formula>
    </cfRule>
  </conditionalFormatting>
  <conditionalFormatting sqref="F59">
    <cfRule type="cellIs" dxfId="4" priority="1193" operator="greaterThanOrEqual">
      <formula>0</formula>
    </cfRule>
  </conditionalFormatting>
  <conditionalFormatting sqref="F59">
    <cfRule type="cellIs" dxfId="5" priority="1194" operator="lessThan">
      <formula>-4100</formula>
    </cfRule>
  </conditionalFormatting>
  <conditionalFormatting sqref="E59">
    <cfRule type="cellIs" dxfId="6" priority="1195" operator="greaterThan">
      <formula>0</formula>
    </cfRule>
  </conditionalFormatting>
  <conditionalFormatting sqref="F169">
    <cfRule type="cellIs" dxfId="4" priority="1196" operator="greaterThanOrEqual">
      <formula>0</formula>
    </cfRule>
  </conditionalFormatting>
  <conditionalFormatting sqref="F169">
    <cfRule type="cellIs" dxfId="5" priority="1197" operator="lessThan">
      <formula>-4100</formula>
    </cfRule>
  </conditionalFormatting>
  <conditionalFormatting sqref="F169">
    <cfRule type="cellIs" dxfId="4" priority="1198" operator="greaterThanOrEqual">
      <formula>0</formula>
    </cfRule>
  </conditionalFormatting>
  <conditionalFormatting sqref="F169">
    <cfRule type="cellIs" dxfId="5" priority="1199" operator="lessThan">
      <formula>-4100</formula>
    </cfRule>
  </conditionalFormatting>
  <conditionalFormatting sqref="E169">
    <cfRule type="cellIs" dxfId="6" priority="1200" operator="greaterThan">
      <formula>0</formula>
    </cfRule>
  </conditionalFormatting>
  <conditionalFormatting sqref="F169">
    <cfRule type="cellIs" dxfId="4" priority="1201" operator="greaterThanOrEqual">
      <formula>0</formula>
    </cfRule>
  </conditionalFormatting>
  <conditionalFormatting sqref="F169">
    <cfRule type="cellIs" dxfId="5" priority="1202" operator="lessThan">
      <formula>-4100</formula>
    </cfRule>
  </conditionalFormatting>
  <conditionalFormatting sqref="F169">
    <cfRule type="cellIs" dxfId="4" priority="1203" operator="greaterThanOrEqual">
      <formula>0</formula>
    </cfRule>
  </conditionalFormatting>
  <conditionalFormatting sqref="F169">
    <cfRule type="cellIs" dxfId="5" priority="1204" operator="lessThan">
      <formula>-4100</formula>
    </cfRule>
  </conditionalFormatting>
  <conditionalFormatting sqref="F169">
    <cfRule type="cellIs" dxfId="4" priority="1205" operator="greaterThanOrEqual">
      <formula>0</formula>
    </cfRule>
  </conditionalFormatting>
  <conditionalFormatting sqref="F169">
    <cfRule type="cellIs" dxfId="5" priority="1206" operator="lessThan">
      <formula>-4100</formula>
    </cfRule>
  </conditionalFormatting>
  <conditionalFormatting sqref="F169">
    <cfRule type="cellIs" dxfId="4" priority="1207" operator="greaterThanOrEqual">
      <formula>0</formula>
    </cfRule>
  </conditionalFormatting>
  <conditionalFormatting sqref="F169">
    <cfRule type="cellIs" dxfId="5" priority="1208" operator="lessThan">
      <formula>-4100</formula>
    </cfRule>
  </conditionalFormatting>
  <conditionalFormatting sqref="F169">
    <cfRule type="cellIs" dxfId="4" priority="1209" operator="greaterThanOrEqual">
      <formula>0</formula>
    </cfRule>
  </conditionalFormatting>
  <conditionalFormatting sqref="F169">
    <cfRule type="cellIs" dxfId="5" priority="1210" operator="lessThan">
      <formula>-4100</formula>
    </cfRule>
  </conditionalFormatting>
  <conditionalFormatting sqref="F169">
    <cfRule type="cellIs" dxfId="4" priority="1211" operator="greaterThanOrEqual">
      <formula>0</formula>
    </cfRule>
  </conditionalFormatting>
  <conditionalFormatting sqref="F169">
    <cfRule type="cellIs" dxfId="5" priority="1212" operator="lessThan">
      <formula>-4100</formula>
    </cfRule>
  </conditionalFormatting>
  <conditionalFormatting sqref="F350">
    <cfRule type="cellIs" dxfId="5" priority="1213" operator="lessThan">
      <formula>-4100</formula>
    </cfRule>
  </conditionalFormatting>
  <conditionalFormatting sqref="F350">
    <cfRule type="cellIs" dxfId="4" priority="1214" operator="greaterThanOrEqual">
      <formula>0</formula>
    </cfRule>
  </conditionalFormatting>
  <conditionalFormatting sqref="F350">
    <cfRule type="cellIs" dxfId="4" priority="1215" operator="greaterThanOrEqual">
      <formula>0</formula>
    </cfRule>
  </conditionalFormatting>
  <conditionalFormatting sqref="F350">
    <cfRule type="cellIs" dxfId="5" priority="1216" operator="lessThan">
      <formula>-4100</formula>
    </cfRule>
  </conditionalFormatting>
  <conditionalFormatting sqref="F350">
    <cfRule type="cellIs" dxfId="4" priority="1217" operator="greaterThanOrEqual">
      <formula>0</formula>
    </cfRule>
  </conditionalFormatting>
  <conditionalFormatting sqref="F350">
    <cfRule type="cellIs" dxfId="5" priority="1218" operator="lessThan">
      <formula>-4100</formula>
    </cfRule>
  </conditionalFormatting>
  <conditionalFormatting sqref="F350">
    <cfRule type="cellIs" dxfId="4" priority="1219" operator="greaterThanOrEqual">
      <formula>0</formula>
    </cfRule>
  </conditionalFormatting>
  <conditionalFormatting sqref="F350">
    <cfRule type="cellIs" dxfId="5" priority="1220" operator="lessThan">
      <formula>-4100</formula>
    </cfRule>
  </conditionalFormatting>
  <conditionalFormatting sqref="E350">
    <cfRule type="cellIs" dxfId="6" priority="1221" operator="greaterThan">
      <formula>0</formula>
    </cfRule>
  </conditionalFormatting>
  <conditionalFormatting sqref="F355">
    <cfRule type="cellIs" dxfId="5" priority="1222" operator="lessThan">
      <formula>-4100</formula>
    </cfRule>
  </conditionalFormatting>
  <conditionalFormatting sqref="F355">
    <cfRule type="cellIs" dxfId="4" priority="1223" operator="greaterThanOrEqual">
      <formula>0</formula>
    </cfRule>
  </conditionalFormatting>
  <conditionalFormatting sqref="F355">
    <cfRule type="cellIs" dxfId="4" priority="1224" operator="greaterThanOrEqual">
      <formula>0</formula>
    </cfRule>
  </conditionalFormatting>
  <conditionalFormatting sqref="F355">
    <cfRule type="cellIs" dxfId="5" priority="1225" operator="lessThan">
      <formula>-4100</formula>
    </cfRule>
  </conditionalFormatting>
  <conditionalFormatting sqref="F355">
    <cfRule type="cellIs" dxfId="4" priority="1226" operator="greaterThanOrEqual">
      <formula>0</formula>
    </cfRule>
  </conditionalFormatting>
  <conditionalFormatting sqref="F355">
    <cfRule type="cellIs" dxfId="5" priority="1227" operator="lessThan">
      <formula>-4100</formula>
    </cfRule>
  </conditionalFormatting>
  <conditionalFormatting sqref="F355">
    <cfRule type="cellIs" dxfId="4" priority="1228" operator="greaterThanOrEqual">
      <formula>0</formula>
    </cfRule>
  </conditionalFormatting>
  <conditionalFormatting sqref="F355">
    <cfRule type="cellIs" dxfId="5" priority="1229" operator="lessThan">
      <formula>-4100</formula>
    </cfRule>
  </conditionalFormatting>
  <conditionalFormatting sqref="E355">
    <cfRule type="cellIs" dxfId="6" priority="1230" operator="greaterThan">
      <formula>0</formula>
    </cfRule>
  </conditionalFormatting>
  <conditionalFormatting sqref="F124">
    <cfRule type="cellIs" dxfId="5" priority="1231" operator="lessThan">
      <formula>-4100</formula>
    </cfRule>
  </conditionalFormatting>
  <conditionalFormatting sqref="F124">
    <cfRule type="cellIs" dxfId="4" priority="1232" operator="greaterThanOrEqual">
      <formula>0</formula>
    </cfRule>
  </conditionalFormatting>
  <conditionalFormatting sqref="F124">
    <cfRule type="cellIs" dxfId="4" priority="1233" operator="greaterThanOrEqual">
      <formula>0</formula>
    </cfRule>
  </conditionalFormatting>
  <conditionalFormatting sqref="F124">
    <cfRule type="cellIs" dxfId="5" priority="1234" operator="lessThan">
      <formula>-4100</formula>
    </cfRule>
  </conditionalFormatting>
  <conditionalFormatting sqref="F124">
    <cfRule type="cellIs" dxfId="4" priority="1235" operator="greaterThanOrEqual">
      <formula>0</formula>
    </cfRule>
  </conditionalFormatting>
  <conditionalFormatting sqref="F124">
    <cfRule type="cellIs" dxfId="5" priority="1236" operator="lessThan">
      <formula>-4100</formula>
    </cfRule>
  </conditionalFormatting>
  <conditionalFormatting sqref="F124">
    <cfRule type="cellIs" dxfId="4" priority="1237" operator="greaterThanOrEqual">
      <formula>0</formula>
    </cfRule>
  </conditionalFormatting>
  <conditionalFormatting sqref="F124">
    <cfRule type="cellIs" dxfId="5" priority="1238" operator="lessThan">
      <formula>-4100</formula>
    </cfRule>
  </conditionalFormatting>
  <conditionalFormatting sqref="F124">
    <cfRule type="cellIs" dxfId="4" priority="1239" operator="greaterThanOrEqual">
      <formula>0</formula>
    </cfRule>
  </conditionalFormatting>
  <conditionalFormatting sqref="F124">
    <cfRule type="cellIs" dxfId="5" priority="1240" operator="lessThan">
      <formula>-4100</formula>
    </cfRule>
  </conditionalFormatting>
  <conditionalFormatting sqref="F124">
    <cfRule type="cellIs" dxfId="5" priority="1241" operator="lessThan">
      <formula>-4100</formula>
    </cfRule>
  </conditionalFormatting>
  <conditionalFormatting sqref="F124">
    <cfRule type="cellIs" dxfId="4" priority="1242" operator="greaterThanOrEqual">
      <formula>0</formula>
    </cfRule>
  </conditionalFormatting>
  <conditionalFormatting sqref="F124">
    <cfRule type="cellIs" dxfId="4" priority="1243" operator="greaterThanOrEqual">
      <formula>0</formula>
    </cfRule>
  </conditionalFormatting>
  <conditionalFormatting sqref="F124">
    <cfRule type="cellIs" dxfId="5" priority="1244" operator="lessThan">
      <formula>-4100</formula>
    </cfRule>
  </conditionalFormatting>
  <conditionalFormatting sqref="F124">
    <cfRule type="cellIs" dxfId="4" priority="1245" operator="greaterThanOrEqual">
      <formula>0</formula>
    </cfRule>
  </conditionalFormatting>
  <conditionalFormatting sqref="F124">
    <cfRule type="cellIs" dxfId="5" priority="1246" operator="lessThan">
      <formula>-4100</formula>
    </cfRule>
  </conditionalFormatting>
  <conditionalFormatting sqref="E124">
    <cfRule type="cellIs" dxfId="6" priority="1247" operator="greaterThan">
      <formula>0</formula>
    </cfRule>
  </conditionalFormatting>
  <conditionalFormatting sqref="F119">
    <cfRule type="cellIs" dxfId="5" priority="1248" operator="lessThan">
      <formula>-4100</formula>
    </cfRule>
  </conditionalFormatting>
  <conditionalFormatting sqref="F119">
    <cfRule type="cellIs" dxfId="4" priority="1249" operator="greaterThanOrEqual">
      <formula>0</formula>
    </cfRule>
  </conditionalFormatting>
  <conditionalFormatting sqref="F119">
    <cfRule type="cellIs" dxfId="4" priority="1250" operator="greaterThanOrEqual">
      <formula>0</formula>
    </cfRule>
  </conditionalFormatting>
  <conditionalFormatting sqref="F119">
    <cfRule type="cellIs" dxfId="5" priority="1251" operator="lessThan">
      <formula>-4100</formula>
    </cfRule>
  </conditionalFormatting>
  <conditionalFormatting sqref="F119">
    <cfRule type="cellIs" dxfId="4" priority="1252" operator="greaterThanOrEqual">
      <formula>0</formula>
    </cfRule>
  </conditionalFormatting>
  <conditionalFormatting sqref="F119">
    <cfRule type="cellIs" dxfId="5" priority="1253" operator="lessThan">
      <formula>-4100</formula>
    </cfRule>
  </conditionalFormatting>
  <conditionalFormatting sqref="F119">
    <cfRule type="cellIs" dxfId="4" priority="1254" operator="greaterThanOrEqual">
      <formula>0</formula>
    </cfRule>
  </conditionalFormatting>
  <conditionalFormatting sqref="F119">
    <cfRule type="cellIs" dxfId="5" priority="1255" operator="lessThan">
      <formula>-4100</formula>
    </cfRule>
  </conditionalFormatting>
  <conditionalFormatting sqref="F119">
    <cfRule type="cellIs" dxfId="4" priority="1256" operator="greaterThanOrEqual">
      <formula>0</formula>
    </cfRule>
  </conditionalFormatting>
  <conditionalFormatting sqref="F119">
    <cfRule type="cellIs" dxfId="5" priority="1257" operator="lessThan">
      <formula>-4100</formula>
    </cfRule>
  </conditionalFormatting>
  <conditionalFormatting sqref="F119">
    <cfRule type="cellIs" dxfId="5" priority="1258" operator="lessThan">
      <formula>-4100</formula>
    </cfRule>
  </conditionalFormatting>
  <conditionalFormatting sqref="F119">
    <cfRule type="cellIs" dxfId="4" priority="1259" operator="greaterThanOrEqual">
      <formula>0</formula>
    </cfRule>
  </conditionalFormatting>
  <conditionalFormatting sqref="F119">
    <cfRule type="cellIs" dxfId="4" priority="1260" operator="greaterThanOrEqual">
      <formula>0</formula>
    </cfRule>
  </conditionalFormatting>
  <conditionalFormatting sqref="F119">
    <cfRule type="cellIs" dxfId="5" priority="1261" operator="lessThan">
      <formula>-4100</formula>
    </cfRule>
  </conditionalFormatting>
  <conditionalFormatting sqref="F119">
    <cfRule type="cellIs" dxfId="4" priority="1262" operator="greaterThanOrEqual">
      <formula>0</formula>
    </cfRule>
  </conditionalFormatting>
  <conditionalFormatting sqref="F119">
    <cfRule type="cellIs" dxfId="5" priority="1263" operator="lessThan">
      <formula>-4100</formula>
    </cfRule>
  </conditionalFormatting>
  <conditionalFormatting sqref="E119">
    <cfRule type="cellIs" dxfId="6" priority="1264" operator="greaterThan">
      <formula>0</formula>
    </cfRule>
  </conditionalFormatting>
  <conditionalFormatting sqref="F380">
    <cfRule type="cellIs" dxfId="5" priority="1265" operator="lessThan">
      <formula>-4100</formula>
    </cfRule>
  </conditionalFormatting>
  <conditionalFormatting sqref="F380">
    <cfRule type="cellIs" dxfId="4" priority="1266" operator="greaterThanOrEqual">
      <formula>0</formula>
    </cfRule>
  </conditionalFormatting>
  <conditionalFormatting sqref="F380">
    <cfRule type="cellIs" dxfId="4" priority="1267" operator="greaterThanOrEqual">
      <formula>0</formula>
    </cfRule>
  </conditionalFormatting>
  <conditionalFormatting sqref="F380">
    <cfRule type="cellIs" dxfId="5" priority="1268" operator="lessThan">
      <formula>-4100</formula>
    </cfRule>
  </conditionalFormatting>
  <conditionalFormatting sqref="F380">
    <cfRule type="cellIs" dxfId="4" priority="1269" operator="greaterThanOrEqual">
      <formula>0</formula>
    </cfRule>
  </conditionalFormatting>
  <conditionalFormatting sqref="F380">
    <cfRule type="cellIs" dxfId="5" priority="1270" operator="lessThan">
      <formula>-4100</formula>
    </cfRule>
  </conditionalFormatting>
  <conditionalFormatting sqref="F380">
    <cfRule type="cellIs" dxfId="4" priority="1271" operator="greaterThanOrEqual">
      <formula>0</formula>
    </cfRule>
  </conditionalFormatting>
  <conditionalFormatting sqref="F380">
    <cfRule type="cellIs" dxfId="5" priority="1272" operator="lessThan">
      <formula>-4100</formula>
    </cfRule>
  </conditionalFormatting>
  <conditionalFormatting sqref="E380">
    <cfRule type="cellIs" dxfId="6" priority="1273" operator="greaterThan">
      <formula>0</formula>
    </cfRule>
  </conditionalFormatting>
  <conditionalFormatting sqref="F445">
    <cfRule type="cellIs" dxfId="4" priority="1274" operator="greaterThanOrEqual">
      <formula>0</formula>
    </cfRule>
  </conditionalFormatting>
  <conditionalFormatting sqref="F445">
    <cfRule type="cellIs" dxfId="5" priority="1275" operator="lessThan">
      <formula>-4100</formula>
    </cfRule>
  </conditionalFormatting>
  <conditionalFormatting sqref="F445">
    <cfRule type="cellIs" dxfId="4" priority="1276" operator="greaterThanOrEqual">
      <formula>0</formula>
    </cfRule>
  </conditionalFormatting>
  <conditionalFormatting sqref="F445">
    <cfRule type="cellIs" dxfId="5" priority="1277" operator="lessThan">
      <formula>-4100</formula>
    </cfRule>
  </conditionalFormatting>
  <conditionalFormatting sqref="F445">
    <cfRule type="cellIs" dxfId="4" priority="1278" operator="greaterThanOrEqual">
      <formula>0</formula>
    </cfRule>
  </conditionalFormatting>
  <conditionalFormatting sqref="F445">
    <cfRule type="cellIs" dxfId="5" priority="1279" operator="lessThan">
      <formula>-4100</formula>
    </cfRule>
  </conditionalFormatting>
  <conditionalFormatting sqref="F445">
    <cfRule type="cellIs" dxfId="4" priority="1280" operator="greaterThanOrEqual">
      <formula>0</formula>
    </cfRule>
  </conditionalFormatting>
  <conditionalFormatting sqref="F445">
    <cfRule type="cellIs" dxfId="5" priority="1281" operator="lessThan">
      <formula>-4100</formula>
    </cfRule>
  </conditionalFormatting>
  <conditionalFormatting sqref="F445">
    <cfRule type="cellIs" dxfId="4" priority="1282" operator="greaterThanOrEqual">
      <formula>0</formula>
    </cfRule>
  </conditionalFormatting>
  <conditionalFormatting sqref="F445">
    <cfRule type="cellIs" dxfId="5" priority="1283" operator="lessThan">
      <formula>-4100</formula>
    </cfRule>
  </conditionalFormatting>
  <conditionalFormatting sqref="F445">
    <cfRule type="cellIs" dxfId="4" priority="1284" operator="greaterThanOrEqual">
      <formula>0</formula>
    </cfRule>
  </conditionalFormatting>
  <conditionalFormatting sqref="F445">
    <cfRule type="cellIs" dxfId="5" priority="1285" operator="lessThan">
      <formula>-4100</formula>
    </cfRule>
  </conditionalFormatting>
  <conditionalFormatting sqref="F445">
    <cfRule type="cellIs" dxfId="4" priority="1286" operator="greaterThanOrEqual">
      <formula>0</formula>
    </cfRule>
  </conditionalFormatting>
  <conditionalFormatting sqref="F445">
    <cfRule type="cellIs" dxfId="5" priority="1287" operator="lessThan">
      <formula>-4100</formula>
    </cfRule>
  </conditionalFormatting>
  <conditionalFormatting sqref="F445">
    <cfRule type="cellIs" dxfId="4" priority="1288" operator="greaterThanOrEqual">
      <formula>0</formula>
    </cfRule>
  </conditionalFormatting>
  <conditionalFormatting sqref="F445">
    <cfRule type="cellIs" dxfId="5" priority="1289" operator="lessThan">
      <formula>-4100</formula>
    </cfRule>
  </conditionalFormatting>
  <conditionalFormatting sqref="E445">
    <cfRule type="cellIs" dxfId="6" priority="1290" operator="greaterThan">
      <formula>0</formula>
    </cfRule>
  </conditionalFormatting>
  <conditionalFormatting sqref="F114">
    <cfRule type="cellIs" dxfId="5" priority="1291" operator="lessThan">
      <formula>-4100</formula>
    </cfRule>
  </conditionalFormatting>
  <conditionalFormatting sqref="F114">
    <cfRule type="cellIs" dxfId="4" priority="1292" operator="greaterThanOrEqual">
      <formula>0</formula>
    </cfRule>
  </conditionalFormatting>
  <conditionalFormatting sqref="F114">
    <cfRule type="cellIs" dxfId="4" priority="1293" operator="greaterThanOrEqual">
      <formula>0</formula>
    </cfRule>
  </conditionalFormatting>
  <conditionalFormatting sqref="F114">
    <cfRule type="cellIs" dxfId="5" priority="1294" operator="lessThan">
      <formula>-4100</formula>
    </cfRule>
  </conditionalFormatting>
  <conditionalFormatting sqref="F114">
    <cfRule type="cellIs" dxfId="4" priority="1295" operator="greaterThanOrEqual">
      <formula>0</formula>
    </cfRule>
  </conditionalFormatting>
  <conditionalFormatting sqref="F114">
    <cfRule type="cellIs" dxfId="5" priority="1296" operator="lessThan">
      <formula>-4100</formula>
    </cfRule>
  </conditionalFormatting>
  <conditionalFormatting sqref="F114">
    <cfRule type="cellIs" dxfId="4" priority="1297" operator="greaterThanOrEqual">
      <formula>0</formula>
    </cfRule>
  </conditionalFormatting>
  <conditionalFormatting sqref="F114">
    <cfRule type="cellIs" dxfId="5" priority="1298" operator="lessThan">
      <formula>-4100</formula>
    </cfRule>
  </conditionalFormatting>
  <conditionalFormatting sqref="F114">
    <cfRule type="cellIs" dxfId="4" priority="1299" operator="greaterThanOrEqual">
      <formula>0</formula>
    </cfRule>
  </conditionalFormatting>
  <conditionalFormatting sqref="F114">
    <cfRule type="cellIs" dxfId="5" priority="1300" operator="lessThan">
      <formula>-4100</formula>
    </cfRule>
  </conditionalFormatting>
  <conditionalFormatting sqref="F114">
    <cfRule type="cellIs" dxfId="5" priority="1301" operator="lessThan">
      <formula>-4100</formula>
    </cfRule>
  </conditionalFormatting>
  <conditionalFormatting sqref="F114">
    <cfRule type="cellIs" dxfId="4" priority="1302" operator="greaterThanOrEqual">
      <formula>0</formula>
    </cfRule>
  </conditionalFormatting>
  <conditionalFormatting sqref="F114">
    <cfRule type="cellIs" dxfId="4" priority="1303" operator="greaterThanOrEqual">
      <formula>0</formula>
    </cfRule>
  </conditionalFormatting>
  <conditionalFormatting sqref="F114">
    <cfRule type="cellIs" dxfId="5" priority="1304" operator="lessThan">
      <formula>-4100</formula>
    </cfRule>
  </conditionalFormatting>
  <conditionalFormatting sqref="F114">
    <cfRule type="cellIs" dxfId="4" priority="1305" operator="greaterThanOrEqual">
      <formula>0</formula>
    </cfRule>
  </conditionalFormatting>
  <conditionalFormatting sqref="F114">
    <cfRule type="cellIs" dxfId="5" priority="1306" operator="lessThan">
      <formula>-4100</formula>
    </cfRule>
  </conditionalFormatting>
  <conditionalFormatting sqref="E114">
    <cfRule type="cellIs" dxfId="6" priority="1307" operator="greaterThan">
      <formula>0</formula>
    </cfRule>
  </conditionalFormatting>
  <conditionalFormatting sqref="F239">
    <cfRule type="cellIs" dxfId="5" priority="1308" operator="lessThan">
      <formula>-4100</formula>
    </cfRule>
  </conditionalFormatting>
  <conditionalFormatting sqref="F239">
    <cfRule type="cellIs" dxfId="4" priority="1309" operator="greaterThanOrEqual">
      <formula>0</formula>
    </cfRule>
  </conditionalFormatting>
  <conditionalFormatting sqref="F239">
    <cfRule type="cellIs" dxfId="4" priority="1310" operator="greaterThanOrEqual">
      <formula>0</formula>
    </cfRule>
  </conditionalFormatting>
  <conditionalFormatting sqref="F239">
    <cfRule type="cellIs" dxfId="5" priority="1311" operator="lessThan">
      <formula>-4100</formula>
    </cfRule>
  </conditionalFormatting>
  <conditionalFormatting sqref="F239">
    <cfRule type="cellIs" dxfId="4" priority="1312" operator="greaterThanOrEqual">
      <formula>0</formula>
    </cfRule>
  </conditionalFormatting>
  <conditionalFormatting sqref="F239">
    <cfRule type="cellIs" dxfId="5" priority="1313" operator="lessThan">
      <formula>-4100</formula>
    </cfRule>
  </conditionalFormatting>
  <conditionalFormatting sqref="F239">
    <cfRule type="cellIs" dxfId="4" priority="1314" operator="greaterThanOrEqual">
      <formula>0</formula>
    </cfRule>
  </conditionalFormatting>
  <conditionalFormatting sqref="F239">
    <cfRule type="cellIs" dxfId="5" priority="1315" operator="lessThan">
      <formula>-4100</formula>
    </cfRule>
  </conditionalFormatting>
  <conditionalFormatting sqref="F239">
    <cfRule type="cellIs" dxfId="4" priority="1316" operator="greaterThanOrEqual">
      <formula>0</formula>
    </cfRule>
  </conditionalFormatting>
  <conditionalFormatting sqref="F239">
    <cfRule type="cellIs" dxfId="5" priority="1317" operator="lessThan">
      <formula>-4100</formula>
    </cfRule>
  </conditionalFormatting>
  <conditionalFormatting sqref="F239">
    <cfRule type="cellIs" dxfId="5" priority="1318" operator="lessThan">
      <formula>-4100</formula>
    </cfRule>
  </conditionalFormatting>
  <conditionalFormatting sqref="F239">
    <cfRule type="cellIs" dxfId="4" priority="1319" operator="greaterThanOrEqual">
      <formula>0</formula>
    </cfRule>
  </conditionalFormatting>
  <conditionalFormatting sqref="F239">
    <cfRule type="cellIs" dxfId="4" priority="1320" operator="greaterThanOrEqual">
      <formula>0</formula>
    </cfRule>
  </conditionalFormatting>
  <conditionalFormatting sqref="F239">
    <cfRule type="cellIs" dxfId="5" priority="1321" operator="lessThan">
      <formula>-4100</formula>
    </cfRule>
  </conditionalFormatting>
  <conditionalFormatting sqref="F239">
    <cfRule type="cellIs" dxfId="4" priority="1322" operator="greaterThanOrEqual">
      <formula>0</formula>
    </cfRule>
  </conditionalFormatting>
  <conditionalFormatting sqref="F239">
    <cfRule type="cellIs" dxfId="5" priority="1323" operator="lessThan">
      <formula>-4100</formula>
    </cfRule>
  </conditionalFormatting>
  <conditionalFormatting sqref="E239">
    <cfRule type="cellIs" dxfId="6" priority="1324" operator="greaterThan">
      <formula>0</formula>
    </cfRule>
  </conditionalFormatting>
  <conditionalFormatting sqref="F109">
    <cfRule type="cellIs" dxfId="5" priority="1325" operator="lessThan">
      <formula>-4100</formula>
    </cfRule>
  </conditionalFormatting>
  <conditionalFormatting sqref="F109">
    <cfRule type="cellIs" dxfId="4" priority="1326" operator="greaterThanOrEqual">
      <formula>0</formula>
    </cfRule>
  </conditionalFormatting>
  <conditionalFormatting sqref="F109">
    <cfRule type="cellIs" dxfId="4" priority="1327" operator="greaterThanOrEqual">
      <formula>0</formula>
    </cfRule>
  </conditionalFormatting>
  <conditionalFormatting sqref="F109">
    <cfRule type="cellIs" dxfId="5" priority="1328" operator="lessThan">
      <formula>-4100</formula>
    </cfRule>
  </conditionalFormatting>
  <conditionalFormatting sqref="F109">
    <cfRule type="cellIs" dxfId="4" priority="1329" operator="greaterThanOrEqual">
      <formula>0</formula>
    </cfRule>
  </conditionalFormatting>
  <conditionalFormatting sqref="F109">
    <cfRule type="cellIs" dxfId="5" priority="1330" operator="lessThan">
      <formula>-4100</formula>
    </cfRule>
  </conditionalFormatting>
  <conditionalFormatting sqref="F109">
    <cfRule type="cellIs" dxfId="4" priority="1331" operator="greaterThanOrEqual">
      <formula>0</formula>
    </cfRule>
  </conditionalFormatting>
  <conditionalFormatting sqref="F109">
    <cfRule type="cellIs" dxfId="5" priority="1332" operator="lessThan">
      <formula>-4100</formula>
    </cfRule>
  </conditionalFormatting>
  <conditionalFormatting sqref="F109">
    <cfRule type="cellIs" dxfId="4" priority="1333" operator="greaterThanOrEqual">
      <formula>0</formula>
    </cfRule>
  </conditionalFormatting>
  <conditionalFormatting sqref="F109">
    <cfRule type="cellIs" dxfId="5" priority="1334" operator="lessThan">
      <formula>-4100</formula>
    </cfRule>
  </conditionalFormatting>
  <conditionalFormatting sqref="F109">
    <cfRule type="cellIs" dxfId="5" priority="1335" operator="lessThan">
      <formula>-4100</formula>
    </cfRule>
  </conditionalFormatting>
  <conditionalFormatting sqref="F109">
    <cfRule type="cellIs" dxfId="4" priority="1336" operator="greaterThanOrEqual">
      <formula>0</formula>
    </cfRule>
  </conditionalFormatting>
  <conditionalFormatting sqref="F109">
    <cfRule type="cellIs" dxfId="4" priority="1337" operator="greaterThanOrEqual">
      <formula>0</formula>
    </cfRule>
  </conditionalFormatting>
  <conditionalFormatting sqref="F109">
    <cfRule type="cellIs" dxfId="5" priority="1338" operator="lessThan">
      <formula>-4100</formula>
    </cfRule>
  </conditionalFormatting>
  <conditionalFormatting sqref="F109">
    <cfRule type="cellIs" dxfId="4" priority="1339" operator="greaterThanOrEqual">
      <formula>0</formula>
    </cfRule>
  </conditionalFormatting>
  <conditionalFormatting sqref="F109">
    <cfRule type="cellIs" dxfId="5" priority="1340" operator="lessThan">
      <formula>-4100</formula>
    </cfRule>
  </conditionalFormatting>
  <conditionalFormatting sqref="E109">
    <cfRule type="cellIs" dxfId="6" priority="1341" operator="greaterThan">
      <formula>0</formula>
    </cfRule>
  </conditionalFormatting>
  <conditionalFormatting sqref="F24">
    <cfRule type="cellIs" dxfId="5" priority="1342" operator="lessThan">
      <formula>-4100</formula>
    </cfRule>
  </conditionalFormatting>
  <conditionalFormatting sqref="F24">
    <cfRule type="cellIs" dxfId="4" priority="1343" operator="greaterThanOrEqual">
      <formula>0</formula>
    </cfRule>
  </conditionalFormatting>
  <conditionalFormatting sqref="F24">
    <cfRule type="cellIs" dxfId="4" priority="1344" operator="greaterThanOrEqual">
      <formula>0</formula>
    </cfRule>
  </conditionalFormatting>
  <conditionalFormatting sqref="F24">
    <cfRule type="cellIs" dxfId="5" priority="1345" operator="lessThan">
      <formula>-4100</formula>
    </cfRule>
  </conditionalFormatting>
  <conditionalFormatting sqref="F24">
    <cfRule type="cellIs" dxfId="4" priority="1346" operator="greaterThanOrEqual">
      <formula>0</formula>
    </cfRule>
  </conditionalFormatting>
  <conditionalFormatting sqref="F24">
    <cfRule type="cellIs" dxfId="5" priority="1347" operator="lessThan">
      <formula>-4100</formula>
    </cfRule>
  </conditionalFormatting>
  <conditionalFormatting sqref="F24">
    <cfRule type="cellIs" dxfId="4" priority="1348" operator="greaterThanOrEqual">
      <formula>0</formula>
    </cfRule>
  </conditionalFormatting>
  <conditionalFormatting sqref="F24">
    <cfRule type="cellIs" dxfId="5" priority="1349" operator="lessThan">
      <formula>-4100</formula>
    </cfRule>
  </conditionalFormatting>
  <conditionalFormatting sqref="F24">
    <cfRule type="cellIs" dxfId="4" priority="1350" operator="greaterThanOrEqual">
      <formula>0</formula>
    </cfRule>
  </conditionalFormatting>
  <conditionalFormatting sqref="F24">
    <cfRule type="cellIs" dxfId="5" priority="1351" operator="lessThan">
      <formula>-4100</formula>
    </cfRule>
  </conditionalFormatting>
  <conditionalFormatting sqref="F24">
    <cfRule type="cellIs" dxfId="5" priority="1352" operator="lessThan">
      <formula>-4100</formula>
    </cfRule>
  </conditionalFormatting>
  <conditionalFormatting sqref="F24">
    <cfRule type="cellIs" dxfId="4" priority="1353" operator="greaterThanOrEqual">
      <formula>0</formula>
    </cfRule>
  </conditionalFormatting>
  <conditionalFormatting sqref="F24">
    <cfRule type="cellIs" dxfId="4" priority="1354" operator="greaterThanOrEqual">
      <formula>0</formula>
    </cfRule>
  </conditionalFormatting>
  <conditionalFormatting sqref="F24">
    <cfRule type="cellIs" dxfId="5" priority="1355" operator="lessThan">
      <formula>-4100</formula>
    </cfRule>
  </conditionalFormatting>
  <conditionalFormatting sqref="F24">
    <cfRule type="cellIs" dxfId="4" priority="1356" operator="greaterThanOrEqual">
      <formula>0</formula>
    </cfRule>
  </conditionalFormatting>
  <conditionalFormatting sqref="F24">
    <cfRule type="cellIs" dxfId="5" priority="1357" operator="lessThan">
      <formula>-4100</formula>
    </cfRule>
  </conditionalFormatting>
  <conditionalFormatting sqref="E24">
    <cfRule type="cellIs" dxfId="6" priority="1358" operator="greaterThan">
      <formula>0</formula>
    </cfRule>
  </conditionalFormatting>
  <conditionalFormatting sqref="F54">
    <cfRule type="cellIs" dxfId="5" priority="1359" operator="lessThan">
      <formula>-4100</formula>
    </cfRule>
  </conditionalFormatting>
  <conditionalFormatting sqref="F54">
    <cfRule type="cellIs" dxfId="4" priority="1360" operator="greaterThanOrEqual">
      <formula>0</formula>
    </cfRule>
  </conditionalFormatting>
  <conditionalFormatting sqref="F54">
    <cfRule type="cellIs" dxfId="4" priority="1361" operator="greaterThanOrEqual">
      <formula>0</formula>
    </cfRule>
  </conditionalFormatting>
  <conditionalFormatting sqref="F54">
    <cfRule type="cellIs" dxfId="5" priority="1362" operator="lessThan">
      <formula>-4100</formula>
    </cfRule>
  </conditionalFormatting>
  <conditionalFormatting sqref="F54">
    <cfRule type="cellIs" dxfId="4" priority="1363" operator="greaterThanOrEqual">
      <formula>0</formula>
    </cfRule>
  </conditionalFormatting>
  <conditionalFormatting sqref="F54">
    <cfRule type="cellIs" dxfId="5" priority="1364" operator="lessThan">
      <formula>-4100</formula>
    </cfRule>
  </conditionalFormatting>
  <conditionalFormatting sqref="F54">
    <cfRule type="cellIs" dxfId="4" priority="1365" operator="greaterThanOrEqual">
      <formula>0</formula>
    </cfRule>
  </conditionalFormatting>
  <conditionalFormatting sqref="F54">
    <cfRule type="cellIs" dxfId="5" priority="1366" operator="lessThan">
      <formula>-4100</formula>
    </cfRule>
  </conditionalFormatting>
  <conditionalFormatting sqref="F54">
    <cfRule type="cellIs" dxfId="4" priority="1367" operator="greaterThanOrEqual">
      <formula>0</formula>
    </cfRule>
  </conditionalFormatting>
  <conditionalFormatting sqref="F54">
    <cfRule type="cellIs" dxfId="5" priority="1368" operator="lessThan">
      <formula>-4100</formula>
    </cfRule>
  </conditionalFormatting>
  <conditionalFormatting sqref="F54">
    <cfRule type="cellIs" dxfId="5" priority="1369" operator="lessThan">
      <formula>-4100</formula>
    </cfRule>
  </conditionalFormatting>
  <conditionalFormatting sqref="F54">
    <cfRule type="cellIs" dxfId="4" priority="1370" operator="greaterThanOrEqual">
      <formula>0</formula>
    </cfRule>
  </conditionalFormatting>
  <conditionalFormatting sqref="F54">
    <cfRule type="cellIs" dxfId="4" priority="1371" operator="greaterThanOrEqual">
      <formula>0</formula>
    </cfRule>
  </conditionalFormatting>
  <conditionalFormatting sqref="F54">
    <cfRule type="cellIs" dxfId="5" priority="1372" operator="lessThan">
      <formula>-4100</formula>
    </cfRule>
  </conditionalFormatting>
  <conditionalFormatting sqref="F54">
    <cfRule type="cellIs" dxfId="4" priority="1373" operator="greaterThanOrEqual">
      <formula>0</formula>
    </cfRule>
  </conditionalFormatting>
  <conditionalFormatting sqref="F54">
    <cfRule type="cellIs" dxfId="5" priority="1374" operator="lessThan">
      <formula>-4100</formula>
    </cfRule>
  </conditionalFormatting>
  <conditionalFormatting sqref="E54">
    <cfRule type="cellIs" dxfId="6" priority="1375" operator="greaterThan">
      <formula>0</formula>
    </cfRule>
  </conditionalFormatting>
  <conditionalFormatting sqref="F440">
    <cfRule type="cellIs" dxfId="4" priority="1376" operator="greaterThanOrEqual">
      <formula>0</formula>
    </cfRule>
  </conditionalFormatting>
  <conditionalFormatting sqref="F440">
    <cfRule type="cellIs" dxfId="5" priority="1377" operator="lessThan">
      <formula>-4100</formula>
    </cfRule>
  </conditionalFormatting>
  <conditionalFormatting sqref="F440">
    <cfRule type="cellIs" dxfId="4" priority="1378" operator="greaterThanOrEqual">
      <formula>0</formula>
    </cfRule>
  </conditionalFormatting>
  <conditionalFormatting sqref="F440">
    <cfRule type="cellIs" dxfId="5" priority="1379" operator="lessThan">
      <formula>-4100</formula>
    </cfRule>
  </conditionalFormatting>
  <conditionalFormatting sqref="F440">
    <cfRule type="cellIs" dxfId="4" priority="1380" operator="greaterThanOrEqual">
      <formula>0</formula>
    </cfRule>
  </conditionalFormatting>
  <conditionalFormatting sqref="F440">
    <cfRule type="cellIs" dxfId="5" priority="1381" operator="lessThan">
      <formula>-4100</formula>
    </cfRule>
  </conditionalFormatting>
  <conditionalFormatting sqref="F440">
    <cfRule type="cellIs" dxfId="4" priority="1382" operator="greaterThanOrEqual">
      <formula>0</formula>
    </cfRule>
  </conditionalFormatting>
  <conditionalFormatting sqref="F440">
    <cfRule type="cellIs" dxfId="5" priority="1383" operator="lessThan">
      <formula>-4100</formula>
    </cfRule>
  </conditionalFormatting>
  <conditionalFormatting sqref="F440">
    <cfRule type="cellIs" dxfId="4" priority="1384" operator="greaterThanOrEqual">
      <formula>0</formula>
    </cfRule>
  </conditionalFormatting>
  <conditionalFormatting sqref="F440">
    <cfRule type="cellIs" dxfId="5" priority="1385" operator="lessThan">
      <formula>-4100</formula>
    </cfRule>
  </conditionalFormatting>
  <conditionalFormatting sqref="F440">
    <cfRule type="cellIs" dxfId="4" priority="1386" operator="greaterThanOrEqual">
      <formula>0</formula>
    </cfRule>
  </conditionalFormatting>
  <conditionalFormatting sqref="F440">
    <cfRule type="cellIs" dxfId="5" priority="1387" operator="lessThan">
      <formula>-4100</formula>
    </cfRule>
  </conditionalFormatting>
  <conditionalFormatting sqref="F440">
    <cfRule type="cellIs" dxfId="4" priority="1388" operator="greaterThanOrEqual">
      <formula>0</formula>
    </cfRule>
  </conditionalFormatting>
  <conditionalFormatting sqref="F440">
    <cfRule type="cellIs" dxfId="5" priority="1389" operator="lessThan">
      <formula>-4100</formula>
    </cfRule>
  </conditionalFormatting>
  <conditionalFormatting sqref="F440">
    <cfRule type="cellIs" dxfId="4" priority="1390" operator="greaterThanOrEqual">
      <formula>0</formula>
    </cfRule>
  </conditionalFormatting>
  <conditionalFormatting sqref="F440">
    <cfRule type="cellIs" dxfId="5" priority="1391" operator="lessThan">
      <formula>-4100</formula>
    </cfRule>
  </conditionalFormatting>
  <conditionalFormatting sqref="E440">
    <cfRule type="cellIs" dxfId="6" priority="1392" operator="greaterThan">
      <formula>0</formula>
    </cfRule>
  </conditionalFormatting>
  <conditionalFormatting sqref="F179">
    <cfRule type="cellIs" dxfId="4" priority="1393" operator="greaterThanOrEqual">
      <formula>0</formula>
    </cfRule>
  </conditionalFormatting>
  <conditionalFormatting sqref="F179">
    <cfRule type="cellIs" dxfId="5" priority="1394" operator="lessThan">
      <formula>-4100</formula>
    </cfRule>
  </conditionalFormatting>
  <conditionalFormatting sqref="F179">
    <cfRule type="cellIs" dxfId="4" priority="1395" operator="greaterThanOrEqual">
      <formula>0</formula>
    </cfRule>
  </conditionalFormatting>
  <conditionalFormatting sqref="F179">
    <cfRule type="cellIs" dxfId="5" priority="1396" operator="lessThan">
      <formula>-4100</formula>
    </cfRule>
  </conditionalFormatting>
  <conditionalFormatting sqref="E179">
    <cfRule type="cellIs" dxfId="6" priority="1397" operator="greaterThan">
      <formula>0</formula>
    </cfRule>
  </conditionalFormatting>
  <conditionalFormatting sqref="F179">
    <cfRule type="cellIs" dxfId="4" priority="1398" operator="greaterThanOrEqual">
      <formula>0</formula>
    </cfRule>
  </conditionalFormatting>
  <conditionalFormatting sqref="F179">
    <cfRule type="cellIs" dxfId="5" priority="1399" operator="lessThan">
      <formula>-4100</formula>
    </cfRule>
  </conditionalFormatting>
  <conditionalFormatting sqref="F179">
    <cfRule type="cellIs" dxfId="4" priority="1400" operator="greaterThanOrEqual">
      <formula>0</formula>
    </cfRule>
  </conditionalFormatting>
  <conditionalFormatting sqref="F179">
    <cfRule type="cellIs" dxfId="5" priority="1401" operator="lessThan">
      <formula>-4100</formula>
    </cfRule>
  </conditionalFormatting>
  <conditionalFormatting sqref="F179">
    <cfRule type="cellIs" dxfId="4" priority="1402" operator="greaterThanOrEqual">
      <formula>0</formula>
    </cfRule>
  </conditionalFormatting>
  <conditionalFormatting sqref="F179">
    <cfRule type="cellIs" dxfId="5" priority="1403" operator="lessThan">
      <formula>-4100</formula>
    </cfRule>
  </conditionalFormatting>
  <conditionalFormatting sqref="F179">
    <cfRule type="cellIs" dxfId="4" priority="1404" operator="greaterThanOrEqual">
      <formula>0</formula>
    </cfRule>
  </conditionalFormatting>
  <conditionalFormatting sqref="F179">
    <cfRule type="cellIs" dxfId="5" priority="1405" operator="lessThan">
      <formula>-4100</formula>
    </cfRule>
  </conditionalFormatting>
  <conditionalFormatting sqref="F179">
    <cfRule type="cellIs" dxfId="4" priority="1406" operator="greaterThanOrEqual">
      <formula>0</formula>
    </cfRule>
  </conditionalFormatting>
  <conditionalFormatting sqref="F179">
    <cfRule type="cellIs" dxfId="5" priority="1407" operator="lessThan">
      <formula>-4100</formula>
    </cfRule>
  </conditionalFormatting>
  <conditionalFormatting sqref="F179">
    <cfRule type="cellIs" dxfId="4" priority="1408" operator="greaterThanOrEqual">
      <formula>0</formula>
    </cfRule>
  </conditionalFormatting>
  <conditionalFormatting sqref="F179">
    <cfRule type="cellIs" dxfId="5" priority="1409" operator="lessThan">
      <formula>-4100</formula>
    </cfRule>
  </conditionalFormatting>
  <conditionalFormatting sqref="F244">
    <cfRule type="cellIs" dxfId="5" priority="1410" operator="lessThan">
      <formula>-4100</formula>
    </cfRule>
  </conditionalFormatting>
  <conditionalFormatting sqref="F244">
    <cfRule type="cellIs" dxfId="4" priority="1411" operator="greaterThanOrEqual">
      <formula>0</formula>
    </cfRule>
  </conditionalFormatting>
  <conditionalFormatting sqref="F244">
    <cfRule type="cellIs" dxfId="4" priority="1412" operator="greaterThanOrEqual">
      <formula>0</formula>
    </cfRule>
  </conditionalFormatting>
  <conditionalFormatting sqref="F244">
    <cfRule type="cellIs" dxfId="5" priority="1413" operator="lessThan">
      <formula>-4100</formula>
    </cfRule>
  </conditionalFormatting>
  <conditionalFormatting sqref="F244">
    <cfRule type="cellIs" dxfId="4" priority="1414" operator="greaterThanOrEqual">
      <formula>0</formula>
    </cfRule>
  </conditionalFormatting>
  <conditionalFormatting sqref="F244">
    <cfRule type="cellIs" dxfId="5" priority="1415" operator="lessThan">
      <formula>-4100</formula>
    </cfRule>
  </conditionalFormatting>
  <conditionalFormatting sqref="F244">
    <cfRule type="cellIs" dxfId="4" priority="1416" operator="greaterThanOrEqual">
      <formula>0</formula>
    </cfRule>
  </conditionalFormatting>
  <conditionalFormatting sqref="F244">
    <cfRule type="cellIs" dxfId="5" priority="1417" operator="lessThan">
      <formula>-4100</formula>
    </cfRule>
  </conditionalFormatting>
  <conditionalFormatting sqref="F244">
    <cfRule type="cellIs" dxfId="4" priority="1418" operator="greaterThanOrEqual">
      <formula>0</formula>
    </cfRule>
  </conditionalFormatting>
  <conditionalFormatting sqref="F244">
    <cfRule type="cellIs" dxfId="5" priority="1419" operator="lessThan">
      <formula>-4100</formula>
    </cfRule>
  </conditionalFormatting>
  <conditionalFormatting sqref="F244">
    <cfRule type="cellIs" dxfId="5" priority="1420" operator="lessThan">
      <formula>-4100</formula>
    </cfRule>
  </conditionalFormatting>
  <conditionalFormatting sqref="F244">
    <cfRule type="cellIs" dxfId="4" priority="1421" operator="greaterThanOrEqual">
      <formula>0</formula>
    </cfRule>
  </conditionalFormatting>
  <conditionalFormatting sqref="F244">
    <cfRule type="cellIs" dxfId="4" priority="1422" operator="greaterThanOrEqual">
      <formula>0</formula>
    </cfRule>
  </conditionalFormatting>
  <conditionalFormatting sqref="F244">
    <cfRule type="cellIs" dxfId="5" priority="1423" operator="lessThan">
      <formula>-4100</formula>
    </cfRule>
  </conditionalFormatting>
  <conditionalFormatting sqref="F244">
    <cfRule type="cellIs" dxfId="4" priority="1424" operator="greaterThanOrEqual">
      <formula>0</formula>
    </cfRule>
  </conditionalFormatting>
  <conditionalFormatting sqref="F244">
    <cfRule type="cellIs" dxfId="5" priority="1425" operator="lessThan">
      <formula>-4100</formula>
    </cfRule>
  </conditionalFormatting>
  <conditionalFormatting sqref="E244">
    <cfRule type="cellIs" dxfId="6" priority="1426" operator="greaterThan">
      <formula>0</formula>
    </cfRule>
  </conditionalFormatting>
  <conditionalFormatting sqref="F104">
    <cfRule type="cellIs" dxfId="5" priority="1427" operator="lessThan">
      <formula>-4100</formula>
    </cfRule>
  </conditionalFormatting>
  <conditionalFormatting sqref="F104">
    <cfRule type="cellIs" dxfId="4" priority="1428" operator="greaterThanOrEqual">
      <formula>0</formula>
    </cfRule>
  </conditionalFormatting>
  <conditionalFormatting sqref="F104">
    <cfRule type="cellIs" dxfId="4" priority="1429" operator="greaterThanOrEqual">
      <formula>0</formula>
    </cfRule>
  </conditionalFormatting>
  <conditionalFormatting sqref="F104">
    <cfRule type="cellIs" dxfId="5" priority="1430" operator="lessThan">
      <formula>-4100</formula>
    </cfRule>
  </conditionalFormatting>
  <conditionalFormatting sqref="F104">
    <cfRule type="cellIs" dxfId="4" priority="1431" operator="greaterThanOrEqual">
      <formula>0</formula>
    </cfRule>
  </conditionalFormatting>
  <conditionalFormatting sqref="F104">
    <cfRule type="cellIs" dxfId="5" priority="1432" operator="lessThan">
      <formula>-4100</formula>
    </cfRule>
  </conditionalFormatting>
  <conditionalFormatting sqref="F104">
    <cfRule type="cellIs" dxfId="4" priority="1433" operator="greaterThanOrEqual">
      <formula>0</formula>
    </cfRule>
  </conditionalFormatting>
  <conditionalFormatting sqref="F104">
    <cfRule type="cellIs" dxfId="5" priority="1434" operator="lessThan">
      <formula>-4100</formula>
    </cfRule>
  </conditionalFormatting>
  <conditionalFormatting sqref="F104">
    <cfRule type="cellIs" dxfId="4" priority="1435" operator="greaterThanOrEqual">
      <formula>0</formula>
    </cfRule>
  </conditionalFormatting>
  <conditionalFormatting sqref="F104">
    <cfRule type="cellIs" dxfId="5" priority="1436" operator="lessThan">
      <formula>-4100</formula>
    </cfRule>
  </conditionalFormatting>
  <conditionalFormatting sqref="F104">
    <cfRule type="cellIs" dxfId="5" priority="1437" operator="lessThan">
      <formula>-4100</formula>
    </cfRule>
  </conditionalFormatting>
  <conditionalFormatting sqref="F104">
    <cfRule type="cellIs" dxfId="4" priority="1438" operator="greaterThanOrEqual">
      <formula>0</formula>
    </cfRule>
  </conditionalFormatting>
  <conditionalFormatting sqref="F104">
    <cfRule type="cellIs" dxfId="4" priority="1439" operator="greaterThanOrEqual">
      <formula>0</formula>
    </cfRule>
  </conditionalFormatting>
  <conditionalFormatting sqref="F104">
    <cfRule type="cellIs" dxfId="5" priority="1440" operator="lessThan">
      <formula>-4100</formula>
    </cfRule>
  </conditionalFormatting>
  <conditionalFormatting sqref="F104">
    <cfRule type="cellIs" dxfId="4" priority="1441" operator="greaterThanOrEqual">
      <formula>0</formula>
    </cfRule>
  </conditionalFormatting>
  <conditionalFormatting sqref="F104">
    <cfRule type="cellIs" dxfId="5" priority="1442" operator="lessThan">
      <formula>-4100</formula>
    </cfRule>
  </conditionalFormatting>
  <conditionalFormatting sqref="E104">
    <cfRule type="cellIs" dxfId="6" priority="1443" operator="greaterThan">
      <formula>0</formula>
    </cfRule>
  </conditionalFormatting>
  <conditionalFormatting sqref="H5">
    <cfRule type="expression" dxfId="0" priority="1444">
      <formula>H5&lt;($D$3-6%)</formula>
    </cfRule>
  </conditionalFormatting>
  <conditionalFormatting sqref="H5">
    <cfRule type="expression" dxfId="1" priority="1445">
      <formula>H5&gt;($D$3+6%)</formula>
    </cfRule>
  </conditionalFormatting>
  <conditionalFormatting sqref="H5">
    <cfRule type="expression" dxfId="2" priority="1446">
      <formula>H5&lt;($D$3-3%)</formula>
    </cfRule>
  </conditionalFormatting>
  <conditionalFormatting sqref="H5">
    <cfRule type="expression" dxfId="3" priority="1447">
      <formula>H5&gt;($D$3+3%)</formula>
    </cfRule>
  </conditionalFormatting>
  <conditionalFormatting sqref="H6">
    <cfRule type="expression" dxfId="0" priority="1448">
      <formula>H6&lt;($D$3-6%)</formula>
    </cfRule>
  </conditionalFormatting>
  <conditionalFormatting sqref="H6">
    <cfRule type="expression" dxfId="1" priority="1449">
      <formula>H6&gt;($D$3+6%)</formula>
    </cfRule>
  </conditionalFormatting>
  <conditionalFormatting sqref="H6">
    <cfRule type="expression" dxfId="2" priority="1450">
      <formula>H6&lt;($D$3-3%)</formula>
    </cfRule>
  </conditionalFormatting>
  <conditionalFormatting sqref="H6">
    <cfRule type="expression" dxfId="3" priority="1451">
      <formula>H6&gt;($D$3+3%)</formula>
    </cfRule>
  </conditionalFormatting>
  <conditionalFormatting sqref="F9">
    <cfRule type="cellIs" dxfId="5" priority="1452" operator="lessThan">
      <formula>-4100</formula>
    </cfRule>
  </conditionalFormatting>
  <conditionalFormatting sqref="F9">
    <cfRule type="cellIs" dxfId="4" priority="1453" operator="greaterThanOrEqual">
      <formula>0</formula>
    </cfRule>
  </conditionalFormatting>
  <conditionalFormatting sqref="F9">
    <cfRule type="cellIs" dxfId="4" priority="1454" operator="greaterThanOrEqual">
      <formula>0</formula>
    </cfRule>
  </conditionalFormatting>
  <conditionalFormatting sqref="F9">
    <cfRule type="cellIs" dxfId="5" priority="1455" operator="lessThan">
      <formula>-4100</formula>
    </cfRule>
  </conditionalFormatting>
  <conditionalFormatting sqref="F9">
    <cfRule type="cellIs" dxfId="4" priority="1456" operator="greaterThanOrEqual">
      <formula>0</formula>
    </cfRule>
  </conditionalFormatting>
  <conditionalFormatting sqref="F9">
    <cfRule type="cellIs" dxfId="5" priority="1457" operator="lessThan">
      <formula>-4100</formula>
    </cfRule>
  </conditionalFormatting>
  <conditionalFormatting sqref="F9">
    <cfRule type="cellIs" dxfId="4" priority="1458" operator="greaterThanOrEqual">
      <formula>0</formula>
    </cfRule>
  </conditionalFormatting>
  <conditionalFormatting sqref="F9">
    <cfRule type="cellIs" dxfId="5" priority="1459" operator="lessThan">
      <formula>-4100</formula>
    </cfRule>
  </conditionalFormatting>
  <conditionalFormatting sqref="F9">
    <cfRule type="cellIs" dxfId="4" priority="1460" operator="greaterThanOrEqual">
      <formula>0</formula>
    </cfRule>
  </conditionalFormatting>
  <conditionalFormatting sqref="F9">
    <cfRule type="cellIs" dxfId="5" priority="1461" operator="lessThan">
      <formula>-4100</formula>
    </cfRule>
  </conditionalFormatting>
  <conditionalFormatting sqref="F9">
    <cfRule type="cellIs" dxfId="5" priority="1462" operator="lessThan">
      <formula>-4100</formula>
    </cfRule>
  </conditionalFormatting>
  <conditionalFormatting sqref="F9">
    <cfRule type="cellIs" dxfId="4" priority="1463" operator="greaterThanOrEqual">
      <formula>0</formula>
    </cfRule>
  </conditionalFormatting>
  <conditionalFormatting sqref="F9">
    <cfRule type="cellIs" dxfId="4" priority="1464" operator="greaterThanOrEqual">
      <formula>0</formula>
    </cfRule>
  </conditionalFormatting>
  <conditionalFormatting sqref="F9">
    <cfRule type="cellIs" dxfId="5" priority="1465" operator="lessThan">
      <formula>-4100</formula>
    </cfRule>
  </conditionalFormatting>
  <conditionalFormatting sqref="F9">
    <cfRule type="cellIs" dxfId="4" priority="1466" operator="greaterThanOrEqual">
      <formula>0</formula>
    </cfRule>
  </conditionalFormatting>
  <conditionalFormatting sqref="F9">
    <cfRule type="cellIs" dxfId="5" priority="1467" operator="lessThan">
      <formula>-4100</formula>
    </cfRule>
  </conditionalFormatting>
  <conditionalFormatting sqref="E9">
    <cfRule type="cellIs" dxfId="6" priority="1468" operator="greaterThan">
      <formula>0</formula>
    </cfRule>
  </conditionalFormatting>
  <conditionalFormatting sqref="F14">
    <cfRule type="cellIs" dxfId="5" priority="1469" operator="lessThan">
      <formula>-4100</formula>
    </cfRule>
  </conditionalFormatting>
  <conditionalFormatting sqref="F14">
    <cfRule type="cellIs" dxfId="4" priority="1470" operator="greaterThanOrEqual">
      <formula>0</formula>
    </cfRule>
  </conditionalFormatting>
  <conditionalFormatting sqref="F14">
    <cfRule type="cellIs" dxfId="4" priority="1471" operator="greaterThanOrEqual">
      <formula>0</formula>
    </cfRule>
  </conditionalFormatting>
  <conditionalFormatting sqref="F14">
    <cfRule type="cellIs" dxfId="5" priority="1472" operator="lessThan">
      <formula>-4100</formula>
    </cfRule>
  </conditionalFormatting>
  <conditionalFormatting sqref="F14">
    <cfRule type="cellIs" dxfId="4" priority="1473" operator="greaterThanOrEqual">
      <formula>0</formula>
    </cfRule>
  </conditionalFormatting>
  <conditionalFormatting sqref="F14">
    <cfRule type="cellIs" dxfId="5" priority="1474" operator="lessThan">
      <formula>-4100</formula>
    </cfRule>
  </conditionalFormatting>
  <conditionalFormatting sqref="F14">
    <cfRule type="cellIs" dxfId="4" priority="1475" operator="greaterThanOrEqual">
      <formula>0</formula>
    </cfRule>
  </conditionalFormatting>
  <conditionalFormatting sqref="F14">
    <cfRule type="cellIs" dxfId="5" priority="1476" operator="lessThan">
      <formula>-4100</formula>
    </cfRule>
  </conditionalFormatting>
  <conditionalFormatting sqref="F14">
    <cfRule type="cellIs" dxfId="4" priority="1477" operator="greaterThanOrEqual">
      <formula>0</formula>
    </cfRule>
  </conditionalFormatting>
  <conditionalFormatting sqref="F14">
    <cfRule type="cellIs" dxfId="5" priority="1478" operator="lessThan">
      <formula>-4100</formula>
    </cfRule>
  </conditionalFormatting>
  <conditionalFormatting sqref="F14">
    <cfRule type="cellIs" dxfId="5" priority="1479" operator="lessThan">
      <formula>-4100</formula>
    </cfRule>
  </conditionalFormatting>
  <conditionalFormatting sqref="F14">
    <cfRule type="cellIs" dxfId="4" priority="1480" operator="greaterThanOrEqual">
      <formula>0</formula>
    </cfRule>
  </conditionalFormatting>
  <conditionalFormatting sqref="F14">
    <cfRule type="cellIs" dxfId="4" priority="1481" operator="greaterThanOrEqual">
      <formula>0</formula>
    </cfRule>
  </conditionalFormatting>
  <conditionalFormatting sqref="F14">
    <cfRule type="cellIs" dxfId="5" priority="1482" operator="lessThan">
      <formula>-4100</formula>
    </cfRule>
  </conditionalFormatting>
  <conditionalFormatting sqref="F14">
    <cfRule type="cellIs" dxfId="4" priority="1483" operator="greaterThanOrEqual">
      <formula>0</formula>
    </cfRule>
  </conditionalFormatting>
  <conditionalFormatting sqref="F14">
    <cfRule type="cellIs" dxfId="5" priority="1484" operator="lessThan">
      <formula>-4100</formula>
    </cfRule>
  </conditionalFormatting>
  <conditionalFormatting sqref="E14">
    <cfRule type="cellIs" dxfId="6" priority="1485" operator="greaterThan">
      <formula>0</formula>
    </cfRule>
  </conditionalFormatting>
  <conditionalFormatting sqref="F285">
    <cfRule type="cellIs" dxfId="5" priority="1486" operator="lessThan">
      <formula>-4100</formula>
    </cfRule>
  </conditionalFormatting>
  <conditionalFormatting sqref="F285">
    <cfRule type="cellIs" dxfId="4" priority="1487" operator="greaterThanOrEqual">
      <formula>0</formula>
    </cfRule>
  </conditionalFormatting>
  <conditionalFormatting sqref="F285">
    <cfRule type="cellIs" dxfId="4" priority="1488" operator="greaterThanOrEqual">
      <formula>0</formula>
    </cfRule>
  </conditionalFormatting>
  <conditionalFormatting sqref="F285">
    <cfRule type="cellIs" dxfId="5" priority="1489" operator="lessThan">
      <formula>-4100</formula>
    </cfRule>
  </conditionalFormatting>
  <conditionalFormatting sqref="F285">
    <cfRule type="cellIs" dxfId="4" priority="1490" operator="greaterThanOrEqual">
      <formula>0</formula>
    </cfRule>
  </conditionalFormatting>
  <conditionalFormatting sqref="F285">
    <cfRule type="cellIs" dxfId="5" priority="1491" operator="lessThan">
      <formula>-4100</formula>
    </cfRule>
  </conditionalFormatting>
  <conditionalFormatting sqref="F285">
    <cfRule type="cellIs" dxfId="4" priority="1492" operator="greaterThanOrEqual">
      <formula>0</formula>
    </cfRule>
  </conditionalFormatting>
  <conditionalFormatting sqref="F285">
    <cfRule type="cellIs" dxfId="5" priority="1493" operator="lessThan">
      <formula>-4100</formula>
    </cfRule>
  </conditionalFormatting>
  <conditionalFormatting sqref="F285">
    <cfRule type="cellIs" dxfId="4" priority="1494" operator="greaterThanOrEqual">
      <formula>0</formula>
    </cfRule>
  </conditionalFormatting>
  <conditionalFormatting sqref="F285">
    <cfRule type="cellIs" dxfId="5" priority="1495" operator="lessThan">
      <formula>-4100</formula>
    </cfRule>
  </conditionalFormatting>
  <conditionalFormatting sqref="E285">
    <cfRule type="cellIs" dxfId="6" priority="1496" operator="greaterThan">
      <formula>0</formula>
    </cfRule>
  </conditionalFormatting>
  <conditionalFormatting sqref="F285">
    <cfRule type="cellIs" dxfId="4" priority="1497" operator="greaterThanOrEqual">
      <formula>0</formula>
    </cfRule>
  </conditionalFormatting>
  <conditionalFormatting sqref="F285">
    <cfRule type="cellIs" dxfId="5" priority="1498" operator="lessThan">
      <formula>-4100</formula>
    </cfRule>
  </conditionalFormatting>
  <conditionalFormatting sqref="F285">
    <cfRule type="cellIs" dxfId="4" priority="1499" operator="greaterThanOrEqual">
      <formula>0</formula>
    </cfRule>
  </conditionalFormatting>
  <conditionalFormatting sqref="F285">
    <cfRule type="cellIs" dxfId="5" priority="1500" operator="lessThan">
      <formula>-4100</formula>
    </cfRule>
  </conditionalFormatting>
  <conditionalFormatting sqref="F285">
    <cfRule type="cellIs" dxfId="4" priority="1501" operator="greaterThanOrEqual">
      <formula>0</formula>
    </cfRule>
  </conditionalFormatting>
  <conditionalFormatting sqref="F285">
    <cfRule type="cellIs" dxfId="5" priority="1502" operator="lessThan">
      <formula>-4100</formula>
    </cfRule>
  </conditionalFormatting>
  <conditionalFormatting sqref="F174">
    <cfRule type="cellIs" dxfId="4" priority="1503" operator="greaterThanOrEqual">
      <formula>0</formula>
    </cfRule>
  </conditionalFormatting>
  <conditionalFormatting sqref="F174">
    <cfRule type="cellIs" dxfId="5" priority="1504" operator="lessThan">
      <formula>-4100</formula>
    </cfRule>
  </conditionalFormatting>
  <conditionalFormatting sqref="F174">
    <cfRule type="cellIs" dxfId="4" priority="1505" operator="greaterThanOrEqual">
      <formula>0</formula>
    </cfRule>
  </conditionalFormatting>
  <conditionalFormatting sqref="F174">
    <cfRule type="cellIs" dxfId="5" priority="1506" operator="lessThan">
      <formula>-4100</formula>
    </cfRule>
  </conditionalFormatting>
  <conditionalFormatting sqref="E174">
    <cfRule type="cellIs" dxfId="6" priority="1507" operator="greaterThan">
      <formula>0</formula>
    </cfRule>
  </conditionalFormatting>
  <conditionalFormatting sqref="F174">
    <cfRule type="cellIs" dxfId="4" priority="1508" operator="greaterThanOrEqual">
      <formula>0</formula>
    </cfRule>
  </conditionalFormatting>
  <conditionalFormatting sqref="F174">
    <cfRule type="cellIs" dxfId="5" priority="1509" operator="lessThan">
      <formula>-4100</formula>
    </cfRule>
  </conditionalFormatting>
  <conditionalFormatting sqref="F174">
    <cfRule type="cellIs" dxfId="4" priority="1510" operator="greaterThanOrEqual">
      <formula>0</formula>
    </cfRule>
  </conditionalFormatting>
  <conditionalFormatting sqref="F174">
    <cfRule type="cellIs" dxfId="5" priority="1511" operator="lessThan">
      <formula>-4100</formula>
    </cfRule>
  </conditionalFormatting>
  <conditionalFormatting sqref="F174">
    <cfRule type="cellIs" dxfId="4" priority="1512" operator="greaterThanOrEqual">
      <formula>0</formula>
    </cfRule>
  </conditionalFormatting>
  <conditionalFormatting sqref="F174">
    <cfRule type="cellIs" dxfId="5" priority="1513" operator="lessThan">
      <formula>-4100</formula>
    </cfRule>
  </conditionalFormatting>
  <conditionalFormatting sqref="F174">
    <cfRule type="cellIs" dxfId="4" priority="1514" operator="greaterThanOrEqual">
      <formula>0</formula>
    </cfRule>
  </conditionalFormatting>
  <conditionalFormatting sqref="F174">
    <cfRule type="cellIs" dxfId="5" priority="1515" operator="lessThan">
      <formula>-4100</formula>
    </cfRule>
  </conditionalFormatting>
  <conditionalFormatting sqref="F174">
    <cfRule type="cellIs" dxfId="4" priority="1516" operator="greaterThanOrEqual">
      <formula>0</formula>
    </cfRule>
  </conditionalFormatting>
  <conditionalFormatting sqref="F174">
    <cfRule type="cellIs" dxfId="5" priority="1517" operator="lessThan">
      <formula>-4100</formula>
    </cfRule>
  </conditionalFormatting>
  <conditionalFormatting sqref="F174">
    <cfRule type="cellIs" dxfId="4" priority="1518" operator="greaterThanOrEqual">
      <formula>0</formula>
    </cfRule>
  </conditionalFormatting>
  <conditionalFormatting sqref="F174">
    <cfRule type="cellIs" dxfId="5" priority="1519" operator="lessThan">
      <formula>-4100</formula>
    </cfRule>
  </conditionalFormatting>
  <conditionalFormatting sqref="F234">
    <cfRule type="cellIs" dxfId="5" priority="1520" operator="lessThan">
      <formula>-4100</formula>
    </cfRule>
  </conditionalFormatting>
  <conditionalFormatting sqref="F234">
    <cfRule type="cellIs" dxfId="4" priority="1521" operator="greaterThanOrEqual">
      <formula>0</formula>
    </cfRule>
  </conditionalFormatting>
  <conditionalFormatting sqref="F234">
    <cfRule type="cellIs" dxfId="4" priority="1522" operator="greaterThanOrEqual">
      <formula>0</formula>
    </cfRule>
  </conditionalFormatting>
  <conditionalFormatting sqref="F234">
    <cfRule type="cellIs" dxfId="5" priority="1523" operator="lessThan">
      <formula>-4100</formula>
    </cfRule>
  </conditionalFormatting>
  <conditionalFormatting sqref="F234">
    <cfRule type="cellIs" dxfId="4" priority="1524" operator="greaterThanOrEqual">
      <formula>0</formula>
    </cfRule>
  </conditionalFormatting>
  <conditionalFormatting sqref="F234">
    <cfRule type="cellIs" dxfId="5" priority="1525" operator="lessThan">
      <formula>-4100</formula>
    </cfRule>
  </conditionalFormatting>
  <conditionalFormatting sqref="F234">
    <cfRule type="cellIs" dxfId="4" priority="1526" operator="greaterThanOrEqual">
      <formula>0</formula>
    </cfRule>
  </conditionalFormatting>
  <conditionalFormatting sqref="F234">
    <cfRule type="cellIs" dxfId="5" priority="1527" operator="lessThan">
      <formula>-4100</formula>
    </cfRule>
  </conditionalFormatting>
  <conditionalFormatting sqref="F234">
    <cfRule type="cellIs" dxfId="4" priority="1528" operator="greaterThanOrEqual">
      <formula>0</formula>
    </cfRule>
  </conditionalFormatting>
  <conditionalFormatting sqref="F234">
    <cfRule type="cellIs" dxfId="5" priority="1529" operator="lessThan">
      <formula>-4100</formula>
    </cfRule>
  </conditionalFormatting>
  <conditionalFormatting sqref="F234">
    <cfRule type="cellIs" dxfId="5" priority="1530" operator="lessThan">
      <formula>-4100</formula>
    </cfRule>
  </conditionalFormatting>
  <conditionalFormatting sqref="F234">
    <cfRule type="cellIs" dxfId="4" priority="1531" operator="greaterThanOrEqual">
      <formula>0</formula>
    </cfRule>
  </conditionalFormatting>
  <conditionalFormatting sqref="F234">
    <cfRule type="cellIs" dxfId="4" priority="1532" operator="greaterThanOrEqual">
      <formula>0</formula>
    </cfRule>
  </conditionalFormatting>
  <conditionalFormatting sqref="F234">
    <cfRule type="cellIs" dxfId="5" priority="1533" operator="lessThan">
      <formula>-4100</formula>
    </cfRule>
  </conditionalFormatting>
  <conditionalFormatting sqref="F234">
    <cfRule type="cellIs" dxfId="4" priority="1534" operator="greaterThanOrEqual">
      <formula>0</formula>
    </cfRule>
  </conditionalFormatting>
  <conditionalFormatting sqref="F234">
    <cfRule type="cellIs" dxfId="5" priority="1535" operator="lessThan">
      <formula>-4100</formula>
    </cfRule>
  </conditionalFormatting>
  <conditionalFormatting sqref="E234">
    <cfRule type="cellIs" dxfId="6" priority="1536" operator="greaterThan">
      <formula>0</formula>
    </cfRule>
  </conditionalFormatting>
  <conditionalFormatting sqref="F375">
    <cfRule type="cellIs" dxfId="5" priority="1537" operator="lessThan">
      <formula>-4100</formula>
    </cfRule>
  </conditionalFormatting>
  <conditionalFormatting sqref="F375">
    <cfRule type="cellIs" dxfId="4" priority="1538" operator="greaterThanOrEqual">
      <formula>0</formula>
    </cfRule>
  </conditionalFormatting>
  <conditionalFormatting sqref="F375">
    <cfRule type="cellIs" dxfId="4" priority="1539" operator="greaterThanOrEqual">
      <formula>0</formula>
    </cfRule>
  </conditionalFormatting>
  <conditionalFormatting sqref="F375">
    <cfRule type="cellIs" dxfId="5" priority="1540" operator="lessThan">
      <formula>-4100</formula>
    </cfRule>
  </conditionalFormatting>
  <conditionalFormatting sqref="F375">
    <cfRule type="cellIs" dxfId="4" priority="1541" operator="greaterThanOrEqual">
      <formula>0</formula>
    </cfRule>
  </conditionalFormatting>
  <conditionalFormatting sqref="F375">
    <cfRule type="cellIs" dxfId="5" priority="1542" operator="lessThan">
      <formula>-4100</formula>
    </cfRule>
  </conditionalFormatting>
  <conditionalFormatting sqref="F375">
    <cfRule type="cellIs" dxfId="4" priority="1543" operator="greaterThanOrEqual">
      <formula>0</formula>
    </cfRule>
  </conditionalFormatting>
  <conditionalFormatting sqref="F375">
    <cfRule type="cellIs" dxfId="5" priority="1544" operator="lessThan">
      <formula>-4100</formula>
    </cfRule>
  </conditionalFormatting>
  <conditionalFormatting sqref="E375">
    <cfRule type="cellIs" dxfId="6" priority="1545" operator="greaterThan">
      <formula>0</formula>
    </cfRule>
  </conditionalFormatting>
  <conditionalFormatting sqref="F154">
    <cfRule type="cellIs" dxfId="5" priority="1546" operator="lessThan">
      <formula>-4100</formula>
    </cfRule>
  </conditionalFormatting>
  <conditionalFormatting sqref="F154">
    <cfRule type="cellIs" dxfId="4" priority="1547" operator="greaterThanOrEqual">
      <formula>0</formula>
    </cfRule>
  </conditionalFormatting>
  <conditionalFormatting sqref="F154">
    <cfRule type="cellIs" dxfId="4" priority="1548" operator="greaterThanOrEqual">
      <formula>0</formula>
    </cfRule>
  </conditionalFormatting>
  <conditionalFormatting sqref="F154">
    <cfRule type="cellIs" dxfId="5" priority="1549" operator="lessThan">
      <formula>-4100</formula>
    </cfRule>
  </conditionalFormatting>
  <conditionalFormatting sqref="F154">
    <cfRule type="cellIs" dxfId="4" priority="1550" operator="greaterThanOrEqual">
      <formula>0</formula>
    </cfRule>
  </conditionalFormatting>
  <conditionalFormatting sqref="F154">
    <cfRule type="cellIs" dxfId="5" priority="1551" operator="lessThan">
      <formula>-4100</formula>
    </cfRule>
  </conditionalFormatting>
  <conditionalFormatting sqref="F154">
    <cfRule type="cellIs" dxfId="5" priority="1552" operator="lessThan">
      <formula>-4100</formula>
    </cfRule>
  </conditionalFormatting>
  <conditionalFormatting sqref="F154">
    <cfRule type="cellIs" dxfId="4" priority="1553" operator="greaterThanOrEqual">
      <formula>0</formula>
    </cfRule>
  </conditionalFormatting>
  <conditionalFormatting sqref="F154">
    <cfRule type="cellIs" dxfId="4" priority="1554" operator="greaterThanOrEqual">
      <formula>0</formula>
    </cfRule>
  </conditionalFormatting>
  <conditionalFormatting sqref="F154">
    <cfRule type="cellIs" dxfId="5" priority="1555" operator="lessThan">
      <formula>-4100</formula>
    </cfRule>
  </conditionalFormatting>
  <conditionalFormatting sqref="F154">
    <cfRule type="cellIs" dxfId="4" priority="1556" operator="greaterThanOrEqual">
      <formula>0</formula>
    </cfRule>
  </conditionalFormatting>
  <conditionalFormatting sqref="F154">
    <cfRule type="cellIs" dxfId="5" priority="1557" operator="lessThan">
      <formula>-4100</formula>
    </cfRule>
  </conditionalFormatting>
  <conditionalFormatting sqref="E150:E154">
    <cfRule type="cellIs" dxfId="6" priority="1558" operator="greaterThan">
      <formula>0</formula>
    </cfRule>
  </conditionalFormatting>
  <conditionalFormatting sqref="F154">
    <cfRule type="cellIs" dxfId="4" priority="1559" operator="greaterThanOrEqual">
      <formula>0</formula>
    </cfRule>
  </conditionalFormatting>
  <conditionalFormatting sqref="F154">
    <cfRule type="cellIs" dxfId="5" priority="1560" operator="lessThan">
      <formula>-4100</formula>
    </cfRule>
  </conditionalFormatting>
  <conditionalFormatting sqref="F154">
    <cfRule type="cellIs" dxfId="4" priority="1561" operator="greaterThanOrEqual">
      <formula>0</formula>
    </cfRule>
  </conditionalFormatting>
  <conditionalFormatting sqref="F154">
    <cfRule type="cellIs" dxfId="5" priority="1562" operator="lessThan">
      <formula>-4100</formula>
    </cfRule>
  </conditionalFormatting>
  <conditionalFormatting sqref="F435">
    <cfRule type="cellIs" dxfId="4" priority="1563" operator="greaterThanOrEqual">
      <formula>0</formula>
    </cfRule>
  </conditionalFormatting>
  <conditionalFormatting sqref="F435">
    <cfRule type="cellIs" dxfId="5" priority="1564" operator="lessThan">
      <formula>-4100</formula>
    </cfRule>
  </conditionalFormatting>
  <conditionalFormatting sqref="F435">
    <cfRule type="cellIs" dxfId="4" priority="1565" operator="greaterThanOrEqual">
      <formula>0</formula>
    </cfRule>
  </conditionalFormatting>
  <conditionalFormatting sqref="F435">
    <cfRule type="cellIs" dxfId="5" priority="1566" operator="lessThan">
      <formula>-4100</formula>
    </cfRule>
  </conditionalFormatting>
  <conditionalFormatting sqref="F435">
    <cfRule type="cellIs" dxfId="4" priority="1567" operator="greaterThanOrEqual">
      <formula>0</formula>
    </cfRule>
  </conditionalFormatting>
  <conditionalFormatting sqref="F435">
    <cfRule type="cellIs" dxfId="5" priority="1568" operator="lessThan">
      <formula>-4100</formula>
    </cfRule>
  </conditionalFormatting>
  <conditionalFormatting sqref="F435">
    <cfRule type="cellIs" dxfId="4" priority="1569" operator="greaterThanOrEqual">
      <formula>0</formula>
    </cfRule>
  </conditionalFormatting>
  <conditionalFormatting sqref="F435">
    <cfRule type="cellIs" dxfId="5" priority="1570" operator="lessThan">
      <formula>-4100</formula>
    </cfRule>
  </conditionalFormatting>
  <conditionalFormatting sqref="F435">
    <cfRule type="cellIs" dxfId="4" priority="1571" operator="greaterThanOrEqual">
      <formula>0</formula>
    </cfRule>
  </conditionalFormatting>
  <conditionalFormatting sqref="F435">
    <cfRule type="cellIs" dxfId="5" priority="1572" operator="lessThan">
      <formula>-4100</formula>
    </cfRule>
  </conditionalFormatting>
  <conditionalFormatting sqref="F435">
    <cfRule type="cellIs" dxfId="4" priority="1573" operator="greaterThanOrEqual">
      <formula>0</formula>
    </cfRule>
  </conditionalFormatting>
  <conditionalFormatting sqref="F435">
    <cfRule type="cellIs" dxfId="5" priority="1574" operator="lessThan">
      <formula>-4100</formula>
    </cfRule>
  </conditionalFormatting>
  <conditionalFormatting sqref="F435">
    <cfRule type="cellIs" dxfId="4" priority="1575" operator="greaterThanOrEqual">
      <formula>0</formula>
    </cfRule>
  </conditionalFormatting>
  <conditionalFormatting sqref="F435">
    <cfRule type="cellIs" dxfId="5" priority="1576" operator="lessThan">
      <formula>-4100</formula>
    </cfRule>
  </conditionalFormatting>
  <conditionalFormatting sqref="F435">
    <cfRule type="cellIs" dxfId="4" priority="1577" operator="greaterThanOrEqual">
      <formula>0</formula>
    </cfRule>
  </conditionalFormatting>
  <conditionalFormatting sqref="F435">
    <cfRule type="cellIs" dxfId="5" priority="1578" operator="lessThan">
      <formula>-4100</formula>
    </cfRule>
  </conditionalFormatting>
  <conditionalFormatting sqref="E435">
    <cfRule type="cellIs" dxfId="6" priority="1579" operator="greaterThan">
      <formula>0</formula>
    </cfRule>
  </conditionalFormatting>
  <conditionalFormatting sqref="F370">
    <cfRule type="cellIs" dxfId="5" priority="1580" operator="lessThan">
      <formula>-4100</formula>
    </cfRule>
  </conditionalFormatting>
  <conditionalFormatting sqref="F370">
    <cfRule type="cellIs" dxfId="4" priority="1581" operator="greaterThanOrEqual">
      <formula>0</formula>
    </cfRule>
  </conditionalFormatting>
  <conditionalFormatting sqref="F370">
    <cfRule type="cellIs" dxfId="4" priority="1582" operator="greaterThanOrEqual">
      <formula>0</formula>
    </cfRule>
  </conditionalFormatting>
  <conditionalFormatting sqref="F370">
    <cfRule type="cellIs" dxfId="5" priority="1583" operator="lessThan">
      <formula>-4100</formula>
    </cfRule>
  </conditionalFormatting>
  <conditionalFormatting sqref="F370">
    <cfRule type="cellIs" dxfId="4" priority="1584" operator="greaterThanOrEqual">
      <formula>0</formula>
    </cfRule>
  </conditionalFormatting>
  <conditionalFormatting sqref="F370">
    <cfRule type="cellIs" dxfId="5" priority="1585" operator="lessThan">
      <formula>-4100</formula>
    </cfRule>
  </conditionalFormatting>
  <conditionalFormatting sqref="F370">
    <cfRule type="cellIs" dxfId="4" priority="1586" operator="greaterThanOrEqual">
      <formula>0</formula>
    </cfRule>
  </conditionalFormatting>
  <conditionalFormatting sqref="F370">
    <cfRule type="cellIs" dxfId="5" priority="1587" operator="lessThan">
      <formula>-4100</formula>
    </cfRule>
  </conditionalFormatting>
  <conditionalFormatting sqref="E370">
    <cfRule type="cellIs" dxfId="6" priority="1588" operator="greaterThan">
      <formula>0</formula>
    </cfRule>
  </conditionalFormatting>
  <conditionalFormatting sqref="F430">
    <cfRule type="cellIs" dxfId="4" priority="1589" operator="greaterThanOrEqual">
      <formula>0</formula>
    </cfRule>
  </conditionalFormatting>
  <conditionalFormatting sqref="F430">
    <cfRule type="cellIs" dxfId="5" priority="1590" operator="lessThan">
      <formula>-4100</formula>
    </cfRule>
  </conditionalFormatting>
  <conditionalFormatting sqref="F430">
    <cfRule type="cellIs" dxfId="4" priority="1591" operator="greaterThanOrEqual">
      <formula>0</formula>
    </cfRule>
  </conditionalFormatting>
  <conditionalFormatting sqref="F430">
    <cfRule type="cellIs" dxfId="5" priority="1592" operator="lessThan">
      <formula>-4100</formula>
    </cfRule>
  </conditionalFormatting>
  <conditionalFormatting sqref="F430">
    <cfRule type="cellIs" dxfId="4" priority="1593" operator="greaterThanOrEqual">
      <formula>0</formula>
    </cfRule>
  </conditionalFormatting>
  <conditionalFormatting sqref="F430">
    <cfRule type="cellIs" dxfId="5" priority="1594" operator="lessThan">
      <formula>-4100</formula>
    </cfRule>
  </conditionalFormatting>
  <conditionalFormatting sqref="F430">
    <cfRule type="cellIs" dxfId="4" priority="1595" operator="greaterThanOrEqual">
      <formula>0</formula>
    </cfRule>
  </conditionalFormatting>
  <conditionalFormatting sqref="F430">
    <cfRule type="cellIs" dxfId="5" priority="1596" operator="lessThan">
      <formula>-4100</formula>
    </cfRule>
  </conditionalFormatting>
  <conditionalFormatting sqref="F430">
    <cfRule type="cellIs" dxfId="4" priority="1597" operator="greaterThanOrEqual">
      <formula>0</formula>
    </cfRule>
  </conditionalFormatting>
  <conditionalFormatting sqref="F430">
    <cfRule type="cellIs" dxfId="5" priority="1598" operator="lessThan">
      <formula>-4100</formula>
    </cfRule>
  </conditionalFormatting>
  <conditionalFormatting sqref="F430">
    <cfRule type="cellIs" dxfId="4" priority="1599" operator="greaterThanOrEqual">
      <formula>0</formula>
    </cfRule>
  </conditionalFormatting>
  <conditionalFormatting sqref="F430">
    <cfRule type="cellIs" dxfId="5" priority="1600" operator="lessThan">
      <formula>-4100</formula>
    </cfRule>
  </conditionalFormatting>
  <conditionalFormatting sqref="F430">
    <cfRule type="cellIs" dxfId="4" priority="1601" operator="greaterThanOrEqual">
      <formula>0</formula>
    </cfRule>
  </conditionalFormatting>
  <conditionalFormatting sqref="F430">
    <cfRule type="cellIs" dxfId="5" priority="1602" operator="lessThan">
      <formula>-4100</formula>
    </cfRule>
  </conditionalFormatting>
  <conditionalFormatting sqref="F430">
    <cfRule type="cellIs" dxfId="4" priority="1603" operator="greaterThanOrEqual">
      <formula>0</formula>
    </cfRule>
  </conditionalFormatting>
  <conditionalFormatting sqref="F430">
    <cfRule type="cellIs" dxfId="5" priority="1604" operator="lessThan">
      <formula>-4100</formula>
    </cfRule>
  </conditionalFormatting>
  <conditionalFormatting sqref="E430">
    <cfRule type="cellIs" dxfId="6" priority="1605" operator="greaterThan">
      <formula>0</formula>
    </cfRule>
  </conditionalFormatting>
  <conditionalFormatting sqref="F84">
    <cfRule type="cellIs" dxfId="5" priority="1606" operator="lessThan">
      <formula>-4100</formula>
    </cfRule>
  </conditionalFormatting>
  <conditionalFormatting sqref="F84">
    <cfRule type="cellIs" dxfId="4" priority="1607" operator="greaterThanOrEqual">
      <formula>0</formula>
    </cfRule>
  </conditionalFormatting>
  <conditionalFormatting sqref="F84">
    <cfRule type="cellIs" dxfId="4" priority="1608" operator="greaterThanOrEqual">
      <formula>0</formula>
    </cfRule>
  </conditionalFormatting>
  <conditionalFormatting sqref="F84">
    <cfRule type="cellIs" dxfId="5" priority="1609" operator="lessThan">
      <formula>-4100</formula>
    </cfRule>
  </conditionalFormatting>
  <conditionalFormatting sqref="F84">
    <cfRule type="cellIs" dxfId="4" priority="1610" operator="greaterThanOrEqual">
      <formula>0</formula>
    </cfRule>
  </conditionalFormatting>
  <conditionalFormatting sqref="F84">
    <cfRule type="cellIs" dxfId="5" priority="1611" operator="lessThan">
      <formula>-4100</formula>
    </cfRule>
  </conditionalFormatting>
  <conditionalFormatting sqref="F84">
    <cfRule type="cellIs" dxfId="4" priority="1612" operator="greaterThanOrEqual">
      <formula>0</formula>
    </cfRule>
  </conditionalFormatting>
  <conditionalFormatting sqref="F84">
    <cfRule type="cellIs" dxfId="5" priority="1613" operator="lessThan">
      <formula>-4100</formula>
    </cfRule>
  </conditionalFormatting>
  <conditionalFormatting sqref="F84">
    <cfRule type="cellIs" dxfId="4" priority="1614" operator="greaterThanOrEqual">
      <formula>0</formula>
    </cfRule>
  </conditionalFormatting>
  <conditionalFormatting sqref="F84">
    <cfRule type="cellIs" dxfId="5" priority="1615" operator="lessThan">
      <formula>-4100</formula>
    </cfRule>
  </conditionalFormatting>
  <conditionalFormatting sqref="F84">
    <cfRule type="cellIs" dxfId="5" priority="1616" operator="lessThan">
      <formula>-4100</formula>
    </cfRule>
  </conditionalFormatting>
  <conditionalFormatting sqref="F84">
    <cfRule type="cellIs" dxfId="4" priority="1617" operator="greaterThanOrEqual">
      <formula>0</formula>
    </cfRule>
  </conditionalFormatting>
  <conditionalFormatting sqref="F84">
    <cfRule type="cellIs" dxfId="4" priority="1618" operator="greaterThanOrEqual">
      <formula>0</formula>
    </cfRule>
  </conditionalFormatting>
  <conditionalFormatting sqref="F84">
    <cfRule type="cellIs" dxfId="5" priority="1619" operator="lessThan">
      <formula>-4100</formula>
    </cfRule>
  </conditionalFormatting>
  <conditionalFormatting sqref="F84">
    <cfRule type="cellIs" dxfId="4" priority="1620" operator="greaterThanOrEqual">
      <formula>0</formula>
    </cfRule>
  </conditionalFormatting>
  <conditionalFormatting sqref="F84">
    <cfRule type="cellIs" dxfId="5" priority="1621" operator="lessThan">
      <formula>-4100</formula>
    </cfRule>
  </conditionalFormatting>
  <conditionalFormatting sqref="E84">
    <cfRule type="cellIs" dxfId="6" priority="1622" operator="greaterThan">
      <formula>0</formula>
    </cfRule>
  </conditionalFormatting>
  <conditionalFormatting sqref="F360">
    <cfRule type="cellIs" dxfId="5" priority="1623" operator="lessThan">
      <formula>-4100</formula>
    </cfRule>
  </conditionalFormatting>
  <conditionalFormatting sqref="F360">
    <cfRule type="cellIs" dxfId="4" priority="1624" operator="greaterThanOrEqual">
      <formula>0</formula>
    </cfRule>
  </conditionalFormatting>
  <conditionalFormatting sqref="F360">
    <cfRule type="cellIs" dxfId="4" priority="1625" operator="greaterThanOrEqual">
      <formula>0</formula>
    </cfRule>
  </conditionalFormatting>
  <conditionalFormatting sqref="F360">
    <cfRule type="cellIs" dxfId="5" priority="1626" operator="lessThan">
      <formula>-4100</formula>
    </cfRule>
  </conditionalFormatting>
  <conditionalFormatting sqref="F360">
    <cfRule type="cellIs" dxfId="4" priority="1627" operator="greaterThanOrEqual">
      <formula>0</formula>
    </cfRule>
  </conditionalFormatting>
  <conditionalFormatting sqref="F360">
    <cfRule type="cellIs" dxfId="5" priority="1628" operator="lessThan">
      <formula>-4100</formula>
    </cfRule>
  </conditionalFormatting>
  <conditionalFormatting sqref="F360">
    <cfRule type="cellIs" dxfId="4" priority="1629" operator="greaterThanOrEqual">
      <formula>0</formula>
    </cfRule>
  </conditionalFormatting>
  <conditionalFormatting sqref="F360">
    <cfRule type="cellIs" dxfId="5" priority="1630" operator="lessThan">
      <formula>-4100</formula>
    </cfRule>
  </conditionalFormatting>
  <conditionalFormatting sqref="E360">
    <cfRule type="cellIs" dxfId="6" priority="1631" operator="greaterThan">
      <formula>0</formula>
    </cfRule>
  </conditionalFormatting>
  <conditionalFormatting sqref="F425">
    <cfRule type="cellIs" dxfId="4" priority="1632" operator="greaterThanOrEqual">
      <formula>0</formula>
    </cfRule>
  </conditionalFormatting>
  <conditionalFormatting sqref="F425">
    <cfRule type="cellIs" dxfId="5" priority="1633" operator="lessThan">
      <formula>-4100</formula>
    </cfRule>
  </conditionalFormatting>
  <conditionalFormatting sqref="F425">
    <cfRule type="cellIs" dxfId="4" priority="1634" operator="greaterThanOrEqual">
      <formula>0</formula>
    </cfRule>
  </conditionalFormatting>
  <conditionalFormatting sqref="F425">
    <cfRule type="cellIs" dxfId="5" priority="1635" operator="lessThan">
      <formula>-4100</formula>
    </cfRule>
  </conditionalFormatting>
  <conditionalFormatting sqref="F425">
    <cfRule type="cellIs" dxfId="4" priority="1636" operator="greaterThanOrEqual">
      <formula>0</formula>
    </cfRule>
  </conditionalFormatting>
  <conditionalFormatting sqref="F425">
    <cfRule type="cellIs" dxfId="5" priority="1637" operator="lessThan">
      <formula>-4100</formula>
    </cfRule>
  </conditionalFormatting>
  <conditionalFormatting sqref="F425">
    <cfRule type="cellIs" dxfId="4" priority="1638" operator="greaterThanOrEqual">
      <formula>0</formula>
    </cfRule>
  </conditionalFormatting>
  <conditionalFormatting sqref="F425">
    <cfRule type="cellIs" dxfId="5" priority="1639" operator="lessThan">
      <formula>-4100</formula>
    </cfRule>
  </conditionalFormatting>
  <conditionalFormatting sqref="F425">
    <cfRule type="cellIs" dxfId="4" priority="1640" operator="greaterThanOrEqual">
      <formula>0</formula>
    </cfRule>
  </conditionalFormatting>
  <conditionalFormatting sqref="F425">
    <cfRule type="cellIs" dxfId="5" priority="1641" operator="lessThan">
      <formula>-4100</formula>
    </cfRule>
  </conditionalFormatting>
  <conditionalFormatting sqref="F425">
    <cfRule type="cellIs" dxfId="4" priority="1642" operator="greaterThanOrEqual">
      <formula>0</formula>
    </cfRule>
  </conditionalFormatting>
  <conditionalFormatting sqref="F425">
    <cfRule type="cellIs" dxfId="5" priority="1643" operator="lessThan">
      <formula>-4100</formula>
    </cfRule>
  </conditionalFormatting>
  <conditionalFormatting sqref="F425">
    <cfRule type="cellIs" dxfId="4" priority="1644" operator="greaterThanOrEqual">
      <formula>0</formula>
    </cfRule>
  </conditionalFormatting>
  <conditionalFormatting sqref="F425">
    <cfRule type="cellIs" dxfId="5" priority="1645" operator="lessThan">
      <formula>-4100</formula>
    </cfRule>
  </conditionalFormatting>
  <conditionalFormatting sqref="F425">
    <cfRule type="cellIs" dxfId="4" priority="1646" operator="greaterThanOrEqual">
      <formula>0</formula>
    </cfRule>
  </conditionalFormatting>
  <conditionalFormatting sqref="F425">
    <cfRule type="cellIs" dxfId="5" priority="1647" operator="lessThan">
      <formula>-4100</formula>
    </cfRule>
  </conditionalFormatting>
  <conditionalFormatting sqref="E425">
    <cfRule type="cellIs" dxfId="6" priority="1648" operator="greaterThan">
      <formula>0</formula>
    </cfRule>
  </conditionalFormatting>
  <conditionalFormatting sqref="F89">
    <cfRule type="cellIs" dxfId="5" priority="1649" operator="lessThan">
      <formula>-4100</formula>
    </cfRule>
  </conditionalFormatting>
  <conditionalFormatting sqref="F89">
    <cfRule type="cellIs" dxfId="4" priority="1650" operator="greaterThanOrEqual">
      <formula>0</formula>
    </cfRule>
  </conditionalFormatting>
  <conditionalFormatting sqref="F89">
    <cfRule type="cellIs" dxfId="4" priority="1651" operator="greaterThanOrEqual">
      <formula>0</formula>
    </cfRule>
  </conditionalFormatting>
  <conditionalFormatting sqref="F89">
    <cfRule type="cellIs" dxfId="5" priority="1652" operator="lessThan">
      <formula>-4100</formula>
    </cfRule>
  </conditionalFormatting>
  <conditionalFormatting sqref="F89">
    <cfRule type="cellIs" dxfId="4" priority="1653" operator="greaterThanOrEqual">
      <formula>0</formula>
    </cfRule>
  </conditionalFormatting>
  <conditionalFormatting sqref="F89">
    <cfRule type="cellIs" dxfId="5" priority="1654" operator="lessThan">
      <formula>-4100</formula>
    </cfRule>
  </conditionalFormatting>
  <conditionalFormatting sqref="F89">
    <cfRule type="cellIs" dxfId="4" priority="1655" operator="greaterThanOrEqual">
      <formula>0</formula>
    </cfRule>
  </conditionalFormatting>
  <conditionalFormatting sqref="F89">
    <cfRule type="cellIs" dxfId="5" priority="1656" operator="lessThan">
      <formula>-4100</formula>
    </cfRule>
  </conditionalFormatting>
  <conditionalFormatting sqref="F89">
    <cfRule type="cellIs" dxfId="4" priority="1657" operator="greaterThanOrEqual">
      <formula>0</formula>
    </cfRule>
  </conditionalFormatting>
  <conditionalFormatting sqref="F89">
    <cfRule type="cellIs" dxfId="5" priority="1658" operator="lessThan">
      <formula>-4100</formula>
    </cfRule>
  </conditionalFormatting>
  <conditionalFormatting sqref="F89">
    <cfRule type="cellIs" dxfId="5" priority="1659" operator="lessThan">
      <formula>-4100</formula>
    </cfRule>
  </conditionalFormatting>
  <conditionalFormatting sqref="F89">
    <cfRule type="cellIs" dxfId="4" priority="1660" operator="greaterThanOrEqual">
      <formula>0</formula>
    </cfRule>
  </conditionalFormatting>
  <conditionalFormatting sqref="F89">
    <cfRule type="cellIs" dxfId="4" priority="1661" operator="greaterThanOrEqual">
      <formula>0</formula>
    </cfRule>
  </conditionalFormatting>
  <conditionalFormatting sqref="F89">
    <cfRule type="cellIs" dxfId="5" priority="1662" operator="lessThan">
      <formula>-4100</formula>
    </cfRule>
  </conditionalFormatting>
  <conditionalFormatting sqref="F89">
    <cfRule type="cellIs" dxfId="4" priority="1663" operator="greaterThanOrEqual">
      <formula>0</formula>
    </cfRule>
  </conditionalFormatting>
  <conditionalFormatting sqref="F89">
    <cfRule type="cellIs" dxfId="5" priority="1664" operator="lessThan">
      <formula>-4100</formula>
    </cfRule>
  </conditionalFormatting>
  <conditionalFormatting sqref="E89">
    <cfRule type="cellIs" dxfId="6" priority="1665" operator="greaterThan">
      <formula>0</formula>
    </cfRule>
  </conditionalFormatting>
  <conditionalFormatting sqref="F94">
    <cfRule type="cellIs" dxfId="5" priority="1666" operator="lessThan">
      <formula>-4100</formula>
    </cfRule>
  </conditionalFormatting>
  <conditionalFormatting sqref="F94">
    <cfRule type="cellIs" dxfId="4" priority="1667" operator="greaterThanOrEqual">
      <formula>0</formula>
    </cfRule>
  </conditionalFormatting>
  <conditionalFormatting sqref="F94">
    <cfRule type="cellIs" dxfId="4" priority="1668" operator="greaterThanOrEqual">
      <formula>0</formula>
    </cfRule>
  </conditionalFormatting>
  <conditionalFormatting sqref="F94">
    <cfRule type="cellIs" dxfId="5" priority="1669" operator="lessThan">
      <formula>-4100</formula>
    </cfRule>
  </conditionalFormatting>
  <conditionalFormatting sqref="F94">
    <cfRule type="cellIs" dxfId="4" priority="1670" operator="greaterThanOrEqual">
      <formula>0</formula>
    </cfRule>
  </conditionalFormatting>
  <conditionalFormatting sqref="F94">
    <cfRule type="cellIs" dxfId="5" priority="1671" operator="lessThan">
      <formula>-4100</formula>
    </cfRule>
  </conditionalFormatting>
  <conditionalFormatting sqref="F94">
    <cfRule type="cellIs" dxfId="4" priority="1672" operator="greaterThanOrEqual">
      <formula>0</formula>
    </cfRule>
  </conditionalFormatting>
  <conditionalFormatting sqref="F94">
    <cfRule type="cellIs" dxfId="5" priority="1673" operator="lessThan">
      <formula>-4100</formula>
    </cfRule>
  </conditionalFormatting>
  <conditionalFormatting sqref="F94">
    <cfRule type="cellIs" dxfId="4" priority="1674" operator="greaterThanOrEqual">
      <formula>0</formula>
    </cfRule>
  </conditionalFormatting>
  <conditionalFormatting sqref="F94">
    <cfRule type="cellIs" dxfId="5" priority="1675" operator="lessThan">
      <formula>-4100</formula>
    </cfRule>
  </conditionalFormatting>
  <conditionalFormatting sqref="F94">
    <cfRule type="cellIs" dxfId="5" priority="1676" operator="lessThan">
      <formula>-4100</formula>
    </cfRule>
  </conditionalFormatting>
  <conditionalFormatting sqref="F94">
    <cfRule type="cellIs" dxfId="4" priority="1677" operator="greaterThanOrEqual">
      <formula>0</formula>
    </cfRule>
  </conditionalFormatting>
  <conditionalFormatting sqref="F94">
    <cfRule type="cellIs" dxfId="4" priority="1678" operator="greaterThanOrEqual">
      <formula>0</formula>
    </cfRule>
  </conditionalFormatting>
  <conditionalFormatting sqref="F94">
    <cfRule type="cellIs" dxfId="5" priority="1679" operator="lessThan">
      <formula>-4100</formula>
    </cfRule>
  </conditionalFormatting>
  <conditionalFormatting sqref="F94">
    <cfRule type="cellIs" dxfId="4" priority="1680" operator="greaterThanOrEqual">
      <formula>0</formula>
    </cfRule>
  </conditionalFormatting>
  <conditionalFormatting sqref="F94">
    <cfRule type="cellIs" dxfId="5" priority="1681" operator="lessThan">
      <formula>-4100</formula>
    </cfRule>
  </conditionalFormatting>
  <conditionalFormatting sqref="E94">
    <cfRule type="cellIs" dxfId="6" priority="1682" operator="greaterThan">
      <formula>0</formula>
    </cfRule>
  </conditionalFormatting>
  <conditionalFormatting sqref="F290">
    <cfRule type="cellIs" dxfId="5" priority="1683" operator="lessThan">
      <formula>-4100</formula>
    </cfRule>
  </conditionalFormatting>
  <conditionalFormatting sqref="F290">
    <cfRule type="cellIs" dxfId="4" priority="1684" operator="greaterThanOrEqual">
      <formula>0</formula>
    </cfRule>
  </conditionalFormatting>
  <conditionalFormatting sqref="F290">
    <cfRule type="cellIs" dxfId="4" priority="1685" operator="greaterThanOrEqual">
      <formula>0</formula>
    </cfRule>
  </conditionalFormatting>
  <conditionalFormatting sqref="F290">
    <cfRule type="cellIs" dxfId="5" priority="1686" operator="lessThan">
      <formula>-4100</formula>
    </cfRule>
  </conditionalFormatting>
  <conditionalFormatting sqref="F290">
    <cfRule type="cellIs" dxfId="4" priority="1687" operator="greaterThanOrEqual">
      <formula>0</formula>
    </cfRule>
  </conditionalFormatting>
  <conditionalFormatting sqref="F290">
    <cfRule type="cellIs" dxfId="5" priority="1688" operator="lessThan">
      <formula>-4100</formula>
    </cfRule>
  </conditionalFormatting>
  <conditionalFormatting sqref="F290">
    <cfRule type="cellIs" dxfId="4" priority="1689" operator="greaterThanOrEqual">
      <formula>0</formula>
    </cfRule>
  </conditionalFormatting>
  <conditionalFormatting sqref="F290">
    <cfRule type="cellIs" dxfId="5" priority="1690" operator="lessThan">
      <formula>-4100</formula>
    </cfRule>
  </conditionalFormatting>
  <conditionalFormatting sqref="F290">
    <cfRule type="cellIs" dxfId="4" priority="1691" operator="greaterThanOrEqual">
      <formula>0</formula>
    </cfRule>
  </conditionalFormatting>
  <conditionalFormatting sqref="F290">
    <cfRule type="cellIs" dxfId="5" priority="1692" operator="lessThan">
      <formula>-4100</formula>
    </cfRule>
  </conditionalFormatting>
  <conditionalFormatting sqref="E290">
    <cfRule type="cellIs" dxfId="6" priority="1693" operator="greaterThan">
      <formula>0</formula>
    </cfRule>
  </conditionalFormatting>
  <conditionalFormatting sqref="F290">
    <cfRule type="cellIs" dxfId="4" priority="1694" operator="greaterThanOrEqual">
      <formula>0</formula>
    </cfRule>
  </conditionalFormatting>
  <conditionalFormatting sqref="F290">
    <cfRule type="cellIs" dxfId="5" priority="1695" operator="lessThan">
      <formula>-4100</formula>
    </cfRule>
  </conditionalFormatting>
  <conditionalFormatting sqref="F290">
    <cfRule type="cellIs" dxfId="4" priority="1696" operator="greaterThanOrEqual">
      <formula>0</formula>
    </cfRule>
  </conditionalFormatting>
  <conditionalFormatting sqref="F290">
    <cfRule type="cellIs" dxfId="5" priority="1697" operator="lessThan">
      <formula>-4100</formula>
    </cfRule>
  </conditionalFormatting>
  <conditionalFormatting sqref="F290">
    <cfRule type="cellIs" dxfId="4" priority="1698" operator="greaterThanOrEqual">
      <formula>0</formula>
    </cfRule>
  </conditionalFormatting>
  <conditionalFormatting sqref="F290">
    <cfRule type="cellIs" dxfId="5" priority="1699" operator="lessThan">
      <formula>-4100</formula>
    </cfRule>
  </conditionalFormatting>
  <conditionalFormatting sqref="F420">
    <cfRule type="cellIs" dxfId="4" priority="1700" operator="greaterThanOrEqual">
      <formula>0</formula>
    </cfRule>
  </conditionalFormatting>
  <conditionalFormatting sqref="F420">
    <cfRule type="cellIs" dxfId="5" priority="1701" operator="lessThan">
      <formula>-4100</formula>
    </cfRule>
  </conditionalFormatting>
  <conditionalFormatting sqref="F420">
    <cfRule type="cellIs" dxfId="4" priority="1702" operator="greaterThanOrEqual">
      <formula>0</formula>
    </cfRule>
  </conditionalFormatting>
  <conditionalFormatting sqref="F420">
    <cfRule type="cellIs" dxfId="5" priority="1703" operator="lessThan">
      <formula>-4100</formula>
    </cfRule>
  </conditionalFormatting>
  <conditionalFormatting sqref="F420">
    <cfRule type="cellIs" dxfId="4" priority="1704" operator="greaterThanOrEqual">
      <formula>0</formula>
    </cfRule>
  </conditionalFormatting>
  <conditionalFormatting sqref="F420">
    <cfRule type="cellIs" dxfId="5" priority="1705" operator="lessThan">
      <formula>-4100</formula>
    </cfRule>
  </conditionalFormatting>
  <conditionalFormatting sqref="F420">
    <cfRule type="cellIs" dxfId="4" priority="1706" operator="greaterThanOrEqual">
      <formula>0</formula>
    </cfRule>
  </conditionalFormatting>
  <conditionalFormatting sqref="F420">
    <cfRule type="cellIs" dxfId="5" priority="1707" operator="lessThan">
      <formula>-4100</formula>
    </cfRule>
  </conditionalFormatting>
  <conditionalFormatting sqref="F420">
    <cfRule type="cellIs" dxfId="4" priority="1708" operator="greaterThanOrEqual">
      <formula>0</formula>
    </cfRule>
  </conditionalFormatting>
  <conditionalFormatting sqref="F420">
    <cfRule type="cellIs" dxfId="5" priority="1709" operator="lessThan">
      <formula>-4100</formula>
    </cfRule>
  </conditionalFormatting>
  <conditionalFormatting sqref="F420">
    <cfRule type="cellIs" dxfId="4" priority="1710" operator="greaterThanOrEqual">
      <formula>0</formula>
    </cfRule>
  </conditionalFormatting>
  <conditionalFormatting sqref="F420">
    <cfRule type="cellIs" dxfId="5" priority="1711" operator="lessThan">
      <formula>-4100</formula>
    </cfRule>
  </conditionalFormatting>
  <conditionalFormatting sqref="F420">
    <cfRule type="cellIs" dxfId="4" priority="1712" operator="greaterThanOrEqual">
      <formula>0</formula>
    </cfRule>
  </conditionalFormatting>
  <conditionalFormatting sqref="F420">
    <cfRule type="cellIs" dxfId="5" priority="1713" operator="lessThan">
      <formula>-4100</formula>
    </cfRule>
  </conditionalFormatting>
  <conditionalFormatting sqref="F420">
    <cfRule type="cellIs" dxfId="4" priority="1714" operator="greaterThanOrEqual">
      <formula>0</formula>
    </cfRule>
  </conditionalFormatting>
  <conditionalFormatting sqref="F420">
    <cfRule type="cellIs" dxfId="5" priority="1715" operator="lessThan">
      <formula>-4100</formula>
    </cfRule>
  </conditionalFormatting>
  <conditionalFormatting sqref="E420">
    <cfRule type="cellIs" dxfId="6" priority="1716" operator="greaterThan">
      <formula>0</formula>
    </cfRule>
  </conditionalFormatting>
  <conditionalFormatting sqref="F49">
    <cfRule type="cellIs" dxfId="5" priority="1717" operator="lessThan">
      <formula>-4100</formula>
    </cfRule>
  </conditionalFormatting>
  <conditionalFormatting sqref="F49">
    <cfRule type="cellIs" dxfId="4" priority="1718" operator="greaterThanOrEqual">
      <formula>0</formula>
    </cfRule>
  </conditionalFormatting>
  <conditionalFormatting sqref="F49">
    <cfRule type="cellIs" dxfId="4" priority="1719" operator="greaterThanOrEqual">
      <formula>0</formula>
    </cfRule>
  </conditionalFormatting>
  <conditionalFormatting sqref="F49">
    <cfRule type="cellIs" dxfId="5" priority="1720" operator="lessThan">
      <formula>-4100</formula>
    </cfRule>
  </conditionalFormatting>
  <conditionalFormatting sqref="F49">
    <cfRule type="cellIs" dxfId="4" priority="1721" operator="greaterThanOrEqual">
      <formula>0</formula>
    </cfRule>
  </conditionalFormatting>
  <conditionalFormatting sqref="F49">
    <cfRule type="cellIs" dxfId="5" priority="1722" operator="lessThan">
      <formula>-4100</formula>
    </cfRule>
  </conditionalFormatting>
  <conditionalFormatting sqref="F49">
    <cfRule type="cellIs" dxfId="4" priority="1723" operator="greaterThanOrEqual">
      <formula>0</formula>
    </cfRule>
  </conditionalFormatting>
  <conditionalFormatting sqref="F49">
    <cfRule type="cellIs" dxfId="5" priority="1724" operator="lessThan">
      <formula>-4100</formula>
    </cfRule>
  </conditionalFormatting>
  <conditionalFormatting sqref="F49">
    <cfRule type="cellIs" dxfId="4" priority="1725" operator="greaterThanOrEqual">
      <formula>0</formula>
    </cfRule>
  </conditionalFormatting>
  <conditionalFormatting sqref="F49">
    <cfRule type="cellIs" dxfId="5" priority="1726" operator="lessThan">
      <formula>-4100</formula>
    </cfRule>
  </conditionalFormatting>
  <conditionalFormatting sqref="F49">
    <cfRule type="cellIs" dxfId="5" priority="1727" operator="lessThan">
      <formula>-4100</formula>
    </cfRule>
  </conditionalFormatting>
  <conditionalFormatting sqref="F49">
    <cfRule type="cellIs" dxfId="4" priority="1728" operator="greaterThanOrEqual">
      <formula>0</formula>
    </cfRule>
  </conditionalFormatting>
  <conditionalFormatting sqref="F49">
    <cfRule type="cellIs" dxfId="4" priority="1729" operator="greaterThanOrEqual">
      <formula>0</formula>
    </cfRule>
  </conditionalFormatting>
  <conditionalFormatting sqref="F49">
    <cfRule type="cellIs" dxfId="5" priority="1730" operator="lessThan">
      <formula>-4100</formula>
    </cfRule>
  </conditionalFormatting>
  <conditionalFormatting sqref="F49">
    <cfRule type="cellIs" dxfId="4" priority="1731" operator="greaterThanOrEqual">
      <formula>0</formula>
    </cfRule>
  </conditionalFormatting>
  <conditionalFormatting sqref="F49">
    <cfRule type="cellIs" dxfId="5" priority="1732" operator="lessThan">
      <formula>-4100</formula>
    </cfRule>
  </conditionalFormatting>
  <conditionalFormatting sqref="E49">
    <cfRule type="cellIs" dxfId="6" priority="1733" operator="greaterThan">
      <formula>0</formula>
    </cfRule>
  </conditionalFormatting>
  <conditionalFormatting sqref="F229">
    <cfRule type="cellIs" dxfId="5" priority="1734" operator="lessThan">
      <formula>-4100</formula>
    </cfRule>
  </conditionalFormatting>
  <conditionalFormatting sqref="F229">
    <cfRule type="cellIs" dxfId="4" priority="1735" operator="greaterThanOrEqual">
      <formula>0</formula>
    </cfRule>
  </conditionalFormatting>
  <conditionalFormatting sqref="F229">
    <cfRule type="cellIs" dxfId="4" priority="1736" operator="greaterThanOrEqual">
      <formula>0</formula>
    </cfRule>
  </conditionalFormatting>
  <conditionalFormatting sqref="F229">
    <cfRule type="cellIs" dxfId="5" priority="1737" operator="lessThan">
      <formula>-4100</formula>
    </cfRule>
  </conditionalFormatting>
  <conditionalFormatting sqref="F229">
    <cfRule type="cellIs" dxfId="4" priority="1738" operator="greaterThanOrEqual">
      <formula>0</formula>
    </cfRule>
  </conditionalFormatting>
  <conditionalFormatting sqref="F229">
    <cfRule type="cellIs" dxfId="5" priority="1739" operator="lessThan">
      <formula>-4100</formula>
    </cfRule>
  </conditionalFormatting>
  <conditionalFormatting sqref="F229">
    <cfRule type="cellIs" dxfId="4" priority="1740" operator="greaterThanOrEqual">
      <formula>0</formula>
    </cfRule>
  </conditionalFormatting>
  <conditionalFormatting sqref="F229">
    <cfRule type="cellIs" dxfId="5" priority="1741" operator="lessThan">
      <formula>-4100</formula>
    </cfRule>
  </conditionalFormatting>
  <conditionalFormatting sqref="F229">
    <cfRule type="cellIs" dxfId="4" priority="1742" operator="greaterThanOrEqual">
      <formula>0</formula>
    </cfRule>
  </conditionalFormatting>
  <conditionalFormatting sqref="F229">
    <cfRule type="cellIs" dxfId="5" priority="1743" operator="lessThan">
      <formula>-4100</formula>
    </cfRule>
  </conditionalFormatting>
  <conditionalFormatting sqref="F229">
    <cfRule type="cellIs" dxfId="5" priority="1744" operator="lessThan">
      <formula>-4100</formula>
    </cfRule>
  </conditionalFormatting>
  <conditionalFormatting sqref="F229">
    <cfRule type="cellIs" dxfId="4" priority="1745" operator="greaterThanOrEqual">
      <formula>0</formula>
    </cfRule>
  </conditionalFormatting>
  <conditionalFormatting sqref="F229">
    <cfRule type="cellIs" dxfId="4" priority="1746" operator="greaterThanOrEqual">
      <formula>0</formula>
    </cfRule>
  </conditionalFormatting>
  <conditionalFormatting sqref="F229">
    <cfRule type="cellIs" dxfId="5" priority="1747" operator="lessThan">
      <formula>-4100</formula>
    </cfRule>
  </conditionalFormatting>
  <conditionalFormatting sqref="F229">
    <cfRule type="cellIs" dxfId="4" priority="1748" operator="greaterThanOrEqual">
      <formula>0</formula>
    </cfRule>
  </conditionalFormatting>
  <conditionalFormatting sqref="F229">
    <cfRule type="cellIs" dxfId="5" priority="1749" operator="lessThan">
      <formula>-4100</formula>
    </cfRule>
  </conditionalFormatting>
  <conditionalFormatting sqref="E229">
    <cfRule type="cellIs" dxfId="6" priority="1750" operator="greaterThan">
      <formula>0</formula>
    </cfRule>
  </conditionalFormatting>
  <conditionalFormatting sqref="F365">
    <cfRule type="cellIs" dxfId="5" priority="1751" operator="lessThan">
      <formula>-4100</formula>
    </cfRule>
  </conditionalFormatting>
  <conditionalFormatting sqref="F365">
    <cfRule type="cellIs" dxfId="4" priority="1752" operator="greaterThanOrEqual">
      <formula>0</formula>
    </cfRule>
  </conditionalFormatting>
  <conditionalFormatting sqref="F365">
    <cfRule type="cellIs" dxfId="4" priority="1753" operator="greaterThanOrEqual">
      <formula>0</formula>
    </cfRule>
  </conditionalFormatting>
  <conditionalFormatting sqref="F365">
    <cfRule type="cellIs" dxfId="5" priority="1754" operator="lessThan">
      <formula>-4100</formula>
    </cfRule>
  </conditionalFormatting>
  <conditionalFormatting sqref="F365">
    <cfRule type="cellIs" dxfId="4" priority="1755" operator="greaterThanOrEqual">
      <formula>0</formula>
    </cfRule>
  </conditionalFormatting>
  <conditionalFormatting sqref="F365">
    <cfRule type="cellIs" dxfId="5" priority="1756" operator="lessThan">
      <formula>-4100</formula>
    </cfRule>
  </conditionalFormatting>
  <conditionalFormatting sqref="F365">
    <cfRule type="cellIs" dxfId="4" priority="1757" operator="greaterThanOrEqual">
      <formula>0</formula>
    </cfRule>
  </conditionalFormatting>
  <conditionalFormatting sqref="F365">
    <cfRule type="cellIs" dxfId="5" priority="1758" operator="lessThan">
      <formula>-4100</formula>
    </cfRule>
  </conditionalFormatting>
  <conditionalFormatting sqref="E365">
    <cfRule type="cellIs" dxfId="6" priority="1759" operator="greaterThan">
      <formula>0</formula>
    </cfRule>
  </conditionalFormatting>
  <conditionalFormatting sqref="F99">
    <cfRule type="cellIs" dxfId="5" priority="1760" operator="lessThan">
      <formula>-4100</formula>
    </cfRule>
  </conditionalFormatting>
  <conditionalFormatting sqref="F99">
    <cfRule type="cellIs" dxfId="4" priority="1761" operator="greaterThanOrEqual">
      <formula>0</formula>
    </cfRule>
  </conditionalFormatting>
  <conditionalFormatting sqref="F99">
    <cfRule type="cellIs" dxfId="4" priority="1762" operator="greaterThanOrEqual">
      <formula>0</formula>
    </cfRule>
  </conditionalFormatting>
  <conditionalFormatting sqref="F99">
    <cfRule type="cellIs" dxfId="5" priority="1763" operator="lessThan">
      <formula>-4100</formula>
    </cfRule>
  </conditionalFormatting>
  <conditionalFormatting sqref="F99">
    <cfRule type="cellIs" dxfId="4" priority="1764" operator="greaterThanOrEqual">
      <formula>0</formula>
    </cfRule>
  </conditionalFormatting>
  <conditionalFormatting sqref="F99">
    <cfRule type="cellIs" dxfId="5" priority="1765" operator="lessThan">
      <formula>-4100</formula>
    </cfRule>
  </conditionalFormatting>
  <conditionalFormatting sqref="F99">
    <cfRule type="cellIs" dxfId="4" priority="1766" operator="greaterThanOrEqual">
      <formula>0</formula>
    </cfRule>
  </conditionalFormatting>
  <conditionalFormatting sqref="F99">
    <cfRule type="cellIs" dxfId="5" priority="1767" operator="lessThan">
      <formula>-4100</formula>
    </cfRule>
  </conditionalFormatting>
  <conditionalFormatting sqref="F99">
    <cfRule type="cellIs" dxfId="4" priority="1768" operator="greaterThanOrEqual">
      <formula>0</formula>
    </cfRule>
  </conditionalFormatting>
  <conditionalFormatting sqref="F99">
    <cfRule type="cellIs" dxfId="5" priority="1769" operator="lessThan">
      <formula>-4100</formula>
    </cfRule>
  </conditionalFormatting>
  <conditionalFormatting sqref="F99">
    <cfRule type="cellIs" dxfId="5" priority="1770" operator="lessThan">
      <formula>-4100</formula>
    </cfRule>
  </conditionalFormatting>
  <conditionalFormatting sqref="F99">
    <cfRule type="cellIs" dxfId="4" priority="1771" operator="greaterThanOrEqual">
      <formula>0</formula>
    </cfRule>
  </conditionalFormatting>
  <conditionalFormatting sqref="F99">
    <cfRule type="cellIs" dxfId="4" priority="1772" operator="greaterThanOrEqual">
      <formula>0</formula>
    </cfRule>
  </conditionalFormatting>
  <conditionalFormatting sqref="F99">
    <cfRule type="cellIs" dxfId="5" priority="1773" operator="lessThan">
      <formula>-4100</formula>
    </cfRule>
  </conditionalFormatting>
  <conditionalFormatting sqref="F99">
    <cfRule type="cellIs" dxfId="4" priority="1774" operator="greaterThanOrEqual">
      <formula>0</formula>
    </cfRule>
  </conditionalFormatting>
  <conditionalFormatting sqref="F99">
    <cfRule type="cellIs" dxfId="5" priority="1775" operator="lessThan">
      <formula>-4100</formula>
    </cfRule>
  </conditionalFormatting>
  <conditionalFormatting sqref="E99">
    <cfRule type="cellIs" dxfId="6" priority="1776" operator="greaterThan">
      <formula>0</formula>
    </cfRule>
  </conditionalFormatting>
  <conditionalFormatting sqref="F224">
    <cfRule type="cellIs" dxfId="5" priority="1777" operator="lessThan">
      <formula>-4100</formula>
    </cfRule>
  </conditionalFormatting>
  <conditionalFormatting sqref="F224">
    <cfRule type="cellIs" dxfId="4" priority="1778" operator="greaterThanOrEqual">
      <formula>0</formula>
    </cfRule>
  </conditionalFormatting>
  <conditionalFormatting sqref="F224">
    <cfRule type="cellIs" dxfId="4" priority="1779" operator="greaterThanOrEqual">
      <formula>0</formula>
    </cfRule>
  </conditionalFormatting>
  <conditionalFormatting sqref="F224">
    <cfRule type="cellIs" dxfId="5" priority="1780" operator="lessThan">
      <formula>-4100</formula>
    </cfRule>
  </conditionalFormatting>
  <conditionalFormatting sqref="F224">
    <cfRule type="cellIs" dxfId="4" priority="1781" operator="greaterThanOrEqual">
      <formula>0</formula>
    </cfRule>
  </conditionalFormatting>
  <conditionalFormatting sqref="F224">
    <cfRule type="cellIs" dxfId="5" priority="1782" operator="lessThan">
      <formula>-4100</formula>
    </cfRule>
  </conditionalFormatting>
  <conditionalFormatting sqref="F224">
    <cfRule type="cellIs" dxfId="4" priority="1783" operator="greaterThanOrEqual">
      <formula>0</formula>
    </cfRule>
  </conditionalFormatting>
  <conditionalFormatting sqref="F224">
    <cfRule type="cellIs" dxfId="5" priority="1784" operator="lessThan">
      <formula>-4100</formula>
    </cfRule>
  </conditionalFormatting>
  <conditionalFormatting sqref="F224">
    <cfRule type="cellIs" dxfId="4" priority="1785" operator="greaterThanOrEqual">
      <formula>0</formula>
    </cfRule>
  </conditionalFormatting>
  <conditionalFormatting sqref="F224">
    <cfRule type="cellIs" dxfId="5" priority="1786" operator="lessThan">
      <formula>-4100</formula>
    </cfRule>
  </conditionalFormatting>
  <conditionalFormatting sqref="F224">
    <cfRule type="cellIs" dxfId="5" priority="1787" operator="lessThan">
      <formula>-4100</formula>
    </cfRule>
  </conditionalFormatting>
  <conditionalFormatting sqref="F224">
    <cfRule type="cellIs" dxfId="4" priority="1788" operator="greaterThanOrEqual">
      <formula>0</formula>
    </cfRule>
  </conditionalFormatting>
  <conditionalFormatting sqref="F224">
    <cfRule type="cellIs" dxfId="4" priority="1789" operator="greaterThanOrEqual">
      <formula>0</formula>
    </cfRule>
  </conditionalFormatting>
  <conditionalFormatting sqref="F224">
    <cfRule type="cellIs" dxfId="5" priority="1790" operator="lessThan">
      <formula>-4100</formula>
    </cfRule>
  </conditionalFormatting>
  <conditionalFormatting sqref="F224">
    <cfRule type="cellIs" dxfId="4" priority="1791" operator="greaterThanOrEqual">
      <formula>0</formula>
    </cfRule>
  </conditionalFormatting>
  <conditionalFormatting sqref="F224">
    <cfRule type="cellIs" dxfId="5" priority="1792" operator="lessThan">
      <formula>-4100</formula>
    </cfRule>
  </conditionalFormatting>
  <conditionalFormatting sqref="E224">
    <cfRule type="cellIs" dxfId="6" priority="1793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已命名的範圍</vt:lpstr>
      </vt:variant>
      <vt:variant>
        <vt:i4>5</vt:i4>
      </vt:variant>
    </vt:vector>
  </HeadingPairs>
  <TitlesOfParts>
    <vt:vector baseType="lpstr" size="6">
      <vt:lpstr>Sheet1</vt:lpstr>
      <vt:lpstr>byd</vt:lpstr>
      <vt:lpstr>hkex</vt:lpstr>
      <vt:lpstr>sun</vt:lpstr>
      <vt:lpstr>ub</vt:lpstr>
      <vt:lpstr>zte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2020-10-22T02:36:49Z</dcterms:created>
  <dc:creator>Chuck Chan</dc:creator>
  <cp:lastModifiedBy>USER</cp:lastModifiedBy>
  <dcterms:modified xsi:type="dcterms:W3CDTF">2026-09-23T02:14:28Z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0x010100934EDC9DC782D34982DFF76E84D12DA9</vt:lpwstr>
  </property>
</Properties>
</file>