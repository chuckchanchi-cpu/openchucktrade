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50" windowHeight="0"/>
  </bookViews>
  <sheets>
    <sheet name="Sheet1" sheetId="1" r:id="rId1"/>
  </sheets>
  <definedNames>
    <definedName name="byd">Sheet1!$I$165</definedName>
    <definedName name="hkex">Sheet1!$I$150</definedName>
    <definedName name="sun">Sheet1!$I$411</definedName>
    <definedName name="ub">Sheet1!$I$321</definedName>
    <definedName name="zte">Sheet1!$I$75</definedName>
  </definedNames>
  <calcPr calcId="162913"/>
</workbook>
</file>

<file path=xl/calcChain.xml><?xml version="1.0" encoding="utf-8"?>
<calcChain xmlns="http://schemas.openxmlformats.org/spreadsheetml/2006/main">
  <c r="A12" i="1" l="1"/>
  <c r="B162" i="1" l="1"/>
  <c r="F9" i="1"/>
  <c r="G9" i="1" s="1"/>
  <c r="E9" i="1"/>
  <c r="B8" i="1"/>
  <c r="B13" i="1" s="1"/>
  <c r="B14" i="1" s="1"/>
  <c r="A8" i="1"/>
  <c r="A13" i="1" s="1"/>
  <c r="A14" i="1" s="1"/>
  <c r="E14" i="1" s="1"/>
  <c r="A62" i="1"/>
  <c r="F14" i="1" l="1"/>
  <c r="G14" i="1" s="1"/>
  <c r="B202" i="1"/>
  <c r="A202" i="1"/>
  <c r="B18" i="1"/>
  <c r="A18" i="1"/>
  <c r="B23" i="1" s="1"/>
  <c r="B24" i="1" s="1"/>
  <c r="B33" i="1"/>
  <c r="B43" i="1" s="1"/>
  <c r="A33" i="1"/>
  <c r="A43" i="1" s="1"/>
  <c r="A23" i="1" l="1"/>
  <c r="A24" i="1" s="1"/>
  <c r="E24" i="1" s="1"/>
  <c r="B28" i="1"/>
  <c r="B29" i="1" s="1"/>
  <c r="A28" i="1"/>
  <c r="A29" i="1" s="1"/>
  <c r="E29" i="1" s="1"/>
  <c r="E19" i="1"/>
  <c r="A38" i="1"/>
  <c r="A39" i="1" s="1"/>
  <c r="E39" i="1" s="1"/>
  <c r="B38" i="1"/>
  <c r="B39" i="1" s="1"/>
  <c r="F19" i="1"/>
  <c r="G19" i="1" s="1"/>
  <c r="A147" i="1"/>
  <c r="B153" i="1"/>
  <c r="A158" i="1" s="1"/>
  <c r="A159" i="1" s="1"/>
  <c r="E159" i="1" s="1"/>
  <c r="A153" i="1"/>
  <c r="B158" i="1" s="1"/>
  <c r="B159" i="1" s="1"/>
  <c r="A318" i="1"/>
  <c r="A313" i="1"/>
  <c r="A308" i="1"/>
  <c r="A303" i="1"/>
  <c r="A298" i="1"/>
  <c r="B147" i="1"/>
  <c r="F24" i="1" l="1"/>
  <c r="G24" i="1" s="1"/>
  <c r="F159" i="1"/>
  <c r="G159" i="1" s="1"/>
  <c r="F29" i="1"/>
  <c r="G29" i="1" s="1"/>
  <c r="F39" i="1"/>
  <c r="G39" i="1" s="1"/>
  <c r="B163" i="1"/>
  <c r="B164" i="1" s="1"/>
  <c r="A163" i="1"/>
  <c r="A164" i="1" s="1"/>
  <c r="E164" i="1" s="1"/>
  <c r="B284" i="1"/>
  <c r="A294" i="1" s="1"/>
  <c r="A295" i="1" s="1"/>
  <c r="E295" i="1" s="1"/>
  <c r="A284" i="1"/>
  <c r="B294" i="1" s="1"/>
  <c r="B295" i="1" s="1"/>
  <c r="A44" i="1"/>
  <c r="E44" i="1" s="1"/>
  <c r="B44" i="1"/>
  <c r="F295" i="1" l="1"/>
  <c r="G295" i="1" s="1"/>
  <c r="A289" i="1"/>
  <c r="A290" i="1" s="1"/>
  <c r="E290" i="1" s="1"/>
  <c r="B289" i="1"/>
  <c r="B290" i="1" s="1"/>
  <c r="F44" i="1"/>
  <c r="G44" i="1" s="1"/>
  <c r="E34" i="1"/>
  <c r="F164" i="1"/>
  <c r="G164" i="1" s="1"/>
  <c r="B304" i="1"/>
  <c r="B309" i="1"/>
  <c r="B319" i="1"/>
  <c r="A309" i="1"/>
  <c r="A314" i="1"/>
  <c r="B314" i="1"/>
  <c r="A299" i="1"/>
  <c r="A319" i="1"/>
  <c r="B299" i="1"/>
  <c r="A304" i="1"/>
  <c r="B168" i="1"/>
  <c r="A168" i="1"/>
  <c r="A178" i="1" s="1"/>
  <c r="A179" i="1" s="1"/>
  <c r="B68" i="1"/>
  <c r="B73" i="1" s="1"/>
  <c r="B74" i="1" s="1"/>
  <c r="A68" i="1"/>
  <c r="B178" i="1" l="1"/>
  <c r="B179" i="1" s="1"/>
  <c r="F179" i="1" s="1"/>
  <c r="G179" i="1" s="1"/>
  <c r="E179" i="1"/>
  <c r="B183" i="1"/>
  <c r="B184" i="1" s="1"/>
  <c r="F290" i="1"/>
  <c r="G290" i="1" s="1"/>
  <c r="A183" i="1"/>
  <c r="A184" i="1" s="1"/>
  <c r="E184" i="1" s="1"/>
  <c r="A173" i="1"/>
  <c r="A174" i="1" s="1"/>
  <c r="E174" i="1" s="1"/>
  <c r="B173" i="1"/>
  <c r="B174" i="1" s="1"/>
  <c r="A188" i="1"/>
  <c r="A189" i="1" s="1"/>
  <c r="E189" i="1" s="1"/>
  <c r="E69" i="1"/>
  <c r="A73" i="1"/>
  <c r="A74" i="1" s="1"/>
  <c r="E74" i="1" s="1"/>
  <c r="B193" i="1"/>
  <c r="B194" i="1" s="1"/>
  <c r="B188" i="1"/>
  <c r="B189" i="1" s="1"/>
  <c r="F34" i="1"/>
  <c r="G34" i="1" s="1"/>
  <c r="A193" i="1"/>
  <c r="A194" i="1" s="1"/>
  <c r="F69" i="1"/>
  <c r="G69" i="1" s="1"/>
  <c r="F184" i="1" l="1"/>
  <c r="G184" i="1" s="1"/>
  <c r="F174" i="1"/>
  <c r="G174" i="1" s="1"/>
  <c r="F74" i="1"/>
  <c r="G74" i="1" s="1"/>
  <c r="F189" i="1"/>
  <c r="G189" i="1" s="1"/>
  <c r="E194" i="1"/>
  <c r="F194" i="1"/>
  <c r="G194" i="1" s="1"/>
  <c r="A198" i="1"/>
  <c r="A228" i="1" l="1"/>
  <c r="A229" i="1" s="1"/>
  <c r="E229" i="1" s="1"/>
  <c r="A233" i="1"/>
  <c r="A234" i="1" s="1"/>
  <c r="E234" i="1" s="1"/>
  <c r="B238" i="1"/>
  <c r="B239" i="1" s="1"/>
  <c r="B248" i="1"/>
  <c r="B249" i="1" s="1"/>
  <c r="B243" i="1"/>
  <c r="A203" i="1"/>
  <c r="A204" i="1" s="1"/>
  <c r="A213" i="1"/>
  <c r="A214" i="1" s="1"/>
  <c r="E214" i="1" s="1"/>
  <c r="A218" i="1"/>
  <c r="A219" i="1" s="1"/>
  <c r="E219" i="1" s="1"/>
  <c r="A223" i="1"/>
  <c r="A224" i="1" s="1"/>
  <c r="E224" i="1" s="1"/>
  <c r="A208" i="1"/>
  <c r="A209" i="1" s="1"/>
  <c r="E209" i="1" s="1"/>
  <c r="A269" i="1"/>
  <c r="E204" i="1" l="1"/>
  <c r="E169" i="1"/>
  <c r="E154" i="1" l="1"/>
  <c r="F169" i="1"/>
  <c r="G169" i="1" s="1"/>
  <c r="B48" i="1"/>
  <c r="A48" i="1"/>
  <c r="B58" i="1" l="1"/>
  <c r="B59" i="1" s="1"/>
  <c r="B53" i="1"/>
  <c r="B54" i="1" s="1"/>
  <c r="A58" i="1"/>
  <c r="A59" i="1" s="1"/>
  <c r="E59" i="1" s="1"/>
  <c r="A53" i="1"/>
  <c r="A54" i="1" s="1"/>
  <c r="E54" i="1" s="1"/>
  <c r="B63" i="1"/>
  <c r="B64" i="1" s="1"/>
  <c r="A63" i="1"/>
  <c r="A64" i="1" s="1"/>
  <c r="E64" i="1" s="1"/>
  <c r="F154" i="1"/>
  <c r="G154" i="1" s="1"/>
  <c r="F59" i="1" l="1"/>
  <c r="G59" i="1" s="1"/>
  <c r="F54" i="1"/>
  <c r="G54" i="1" s="1"/>
  <c r="F64" i="1"/>
  <c r="G64" i="1" s="1"/>
  <c r="E49" i="1"/>
  <c r="F49" i="1" l="1"/>
  <c r="G49" i="1" s="1"/>
  <c r="B324" i="1" l="1"/>
  <c r="B369" i="1" s="1"/>
  <c r="B370" i="1" s="1"/>
  <c r="A324" i="1"/>
  <c r="A369" i="1" s="1"/>
  <c r="A370" i="1" s="1"/>
  <c r="E370" i="1" s="1"/>
  <c r="F370" i="1" l="1"/>
  <c r="G370" i="1" s="1"/>
  <c r="B364" i="1"/>
  <c r="B365" i="1" s="1"/>
  <c r="A364" i="1"/>
  <c r="A365" i="1" s="1"/>
  <c r="E365" i="1" s="1"/>
  <c r="A379" i="1"/>
  <c r="A380" i="1" s="1"/>
  <c r="E380" i="1" s="1"/>
  <c r="A374" i="1"/>
  <c r="A375" i="1" s="1"/>
  <c r="E375" i="1" s="1"/>
  <c r="B379" i="1"/>
  <c r="B380" i="1" s="1"/>
  <c r="B374" i="1"/>
  <c r="B375" i="1" s="1"/>
  <c r="B384" i="1"/>
  <c r="B385" i="1" s="1"/>
  <c r="A384" i="1"/>
  <c r="A385" i="1" s="1"/>
  <c r="E385" i="1" s="1"/>
  <c r="B359" i="1"/>
  <c r="B360" i="1" s="1"/>
  <c r="A359" i="1"/>
  <c r="A360" i="1" s="1"/>
  <c r="E360" i="1" s="1"/>
  <c r="B354" i="1"/>
  <c r="B355" i="1" s="1"/>
  <c r="A354" i="1"/>
  <c r="A355" i="1" s="1"/>
  <c r="E355" i="1" s="1"/>
  <c r="B349" i="1"/>
  <c r="B350" i="1" s="1"/>
  <c r="A349" i="1"/>
  <c r="A350" i="1" s="1"/>
  <c r="E350" i="1" s="1"/>
  <c r="B344" i="1"/>
  <c r="B345" i="1" s="1"/>
  <c r="A344" i="1"/>
  <c r="A345" i="1" s="1"/>
  <c r="E345" i="1" s="1"/>
  <c r="B339" i="1"/>
  <c r="B340" i="1" s="1"/>
  <c r="A339" i="1"/>
  <c r="A340" i="1" s="1"/>
  <c r="E340" i="1" s="1"/>
  <c r="B334" i="1"/>
  <c r="B335" i="1" s="1"/>
  <c r="A334" i="1"/>
  <c r="A335" i="1" s="1"/>
  <c r="E335" i="1" s="1"/>
  <c r="B329" i="1"/>
  <c r="B330" i="1" s="1"/>
  <c r="A329" i="1"/>
  <c r="A330" i="1" s="1"/>
  <c r="E330" i="1" s="1"/>
  <c r="A389" i="1"/>
  <c r="A390" i="1" s="1"/>
  <c r="E390" i="1" s="1"/>
  <c r="B399" i="1"/>
  <c r="B400" i="1" s="1"/>
  <c r="B389" i="1"/>
  <c r="B390" i="1" s="1"/>
  <c r="A394" i="1"/>
  <c r="A395" i="1" s="1"/>
  <c r="E395" i="1" s="1"/>
  <c r="A399" i="1"/>
  <c r="A400" i="1" s="1"/>
  <c r="E400" i="1" s="1"/>
  <c r="B404" i="1"/>
  <c r="B405" i="1" s="1"/>
  <c r="B394" i="1"/>
  <c r="B395" i="1" s="1"/>
  <c r="A409" i="1"/>
  <c r="A410" i="1" s="1"/>
  <c r="E410" i="1" s="1"/>
  <c r="A404" i="1"/>
  <c r="A405" i="1" s="1"/>
  <c r="E405" i="1" s="1"/>
  <c r="B409" i="1"/>
  <c r="B410" i="1" s="1"/>
  <c r="F365" i="1" l="1"/>
  <c r="G365" i="1" s="1"/>
  <c r="F375" i="1"/>
  <c r="G375" i="1" s="1"/>
  <c r="F380" i="1"/>
  <c r="G380" i="1" s="1"/>
  <c r="F385" i="1"/>
  <c r="G385" i="1" s="1"/>
  <c r="F360" i="1"/>
  <c r="G360" i="1" s="1"/>
  <c r="F355" i="1"/>
  <c r="G355" i="1" s="1"/>
  <c r="F350" i="1"/>
  <c r="G350" i="1" s="1"/>
  <c r="F345" i="1"/>
  <c r="G345" i="1" s="1"/>
  <c r="F340" i="1"/>
  <c r="G340" i="1" s="1"/>
  <c r="F335" i="1"/>
  <c r="G335" i="1" s="1"/>
  <c r="F330" i="1"/>
  <c r="G330" i="1" s="1"/>
  <c r="F390" i="1"/>
  <c r="G390" i="1" s="1"/>
  <c r="F395" i="1"/>
  <c r="G395" i="1" s="1"/>
  <c r="F400" i="1"/>
  <c r="G400" i="1" s="1"/>
  <c r="F410" i="1"/>
  <c r="G410" i="1" s="1"/>
  <c r="F405" i="1"/>
  <c r="G405" i="1" s="1"/>
  <c r="B278" i="1"/>
  <c r="B273" i="1"/>
  <c r="B78" i="1" l="1"/>
  <c r="A78" i="1"/>
  <c r="B103" i="1" s="1"/>
  <c r="B104" i="1" s="1"/>
  <c r="A103" i="1" l="1"/>
  <c r="A104" i="1" s="1"/>
  <c r="E104" i="1" s="1"/>
  <c r="A98" i="1"/>
  <c r="A99" i="1" s="1"/>
  <c r="E99" i="1" s="1"/>
  <c r="B93" i="1"/>
  <c r="B94" i="1" s="1"/>
  <c r="B98" i="1"/>
  <c r="B99" i="1" s="1"/>
  <c r="A93" i="1"/>
  <c r="A94" i="1" s="1"/>
  <c r="E94" i="1" s="1"/>
  <c r="B88" i="1"/>
  <c r="B89" i="1" s="1"/>
  <c r="A88" i="1"/>
  <c r="A89" i="1" s="1"/>
  <c r="E89" i="1" s="1"/>
  <c r="A108" i="1"/>
  <c r="A109" i="1" s="1"/>
  <c r="E109" i="1" s="1"/>
  <c r="B113" i="1"/>
  <c r="B114" i="1" s="1"/>
  <c r="B108" i="1"/>
  <c r="B109" i="1" s="1"/>
  <c r="A113" i="1"/>
  <c r="A114" i="1" s="1"/>
  <c r="E114" i="1" s="1"/>
  <c r="B118" i="1"/>
  <c r="B119" i="1" s="1"/>
  <c r="A118" i="1"/>
  <c r="A119" i="1" s="1"/>
  <c r="E119" i="1" s="1"/>
  <c r="B123" i="1"/>
  <c r="B124" i="1" s="1"/>
  <c r="A128" i="1"/>
  <c r="A129" i="1" s="1"/>
  <c r="E129" i="1" s="1"/>
  <c r="A123" i="1"/>
  <c r="A124" i="1" s="1"/>
  <c r="E124" i="1" s="1"/>
  <c r="B128" i="1"/>
  <c r="B129" i="1" s="1"/>
  <c r="B133" i="1"/>
  <c r="B134" i="1" s="1"/>
  <c r="A133" i="1"/>
  <c r="A134" i="1" s="1"/>
  <c r="E134" i="1" s="1"/>
  <c r="A138" i="1"/>
  <c r="A139" i="1" s="1"/>
  <c r="E139" i="1" s="1"/>
  <c r="B138" i="1"/>
  <c r="B139" i="1" s="1"/>
  <c r="B143" i="1"/>
  <c r="B144" i="1" s="1"/>
  <c r="A143" i="1"/>
  <c r="A144" i="1" s="1"/>
  <c r="E144" i="1" s="1"/>
  <c r="E79" i="1"/>
  <c r="A83" i="1"/>
  <c r="A84" i="1" s="1"/>
  <c r="E84" i="1" s="1"/>
  <c r="B83" i="1"/>
  <c r="B84" i="1" s="1"/>
  <c r="A148" i="1"/>
  <c r="A149" i="1" s="1"/>
  <c r="B148" i="1"/>
  <c r="B149" i="1" s="1"/>
  <c r="F104" i="1" l="1"/>
  <c r="G104" i="1" s="1"/>
  <c r="F99" i="1"/>
  <c r="G99" i="1" s="1"/>
  <c r="F94" i="1"/>
  <c r="G94" i="1" s="1"/>
  <c r="F89" i="1"/>
  <c r="G89" i="1" s="1"/>
  <c r="F109" i="1"/>
  <c r="G109" i="1" s="1"/>
  <c r="F114" i="1"/>
  <c r="G114" i="1" s="1"/>
  <c r="F119" i="1"/>
  <c r="G119" i="1" s="1"/>
  <c r="F129" i="1"/>
  <c r="G129" i="1" s="1"/>
  <c r="F124" i="1"/>
  <c r="G124" i="1" s="1"/>
  <c r="F134" i="1"/>
  <c r="G134" i="1" s="1"/>
  <c r="F139" i="1"/>
  <c r="G139" i="1" s="1"/>
  <c r="F144" i="1"/>
  <c r="G144" i="1" s="1"/>
  <c r="F84" i="1"/>
  <c r="G84" i="1" s="1"/>
  <c r="E149" i="1"/>
  <c r="F149" i="1"/>
  <c r="G149" i="1" s="1"/>
  <c r="F79" i="1"/>
  <c r="G79" i="1" s="1"/>
  <c r="B198" i="1" l="1"/>
  <c r="B228" i="1" l="1"/>
  <c r="B229" i="1" s="1"/>
  <c r="F229" i="1" s="1"/>
  <c r="G229" i="1" s="1"/>
  <c r="B233" i="1"/>
  <c r="B234" i="1" s="1"/>
  <c r="F234" i="1" s="1"/>
  <c r="G234" i="1" s="1"/>
  <c r="A238" i="1"/>
  <c r="A239" i="1" s="1"/>
  <c r="E239" i="1" s="1"/>
  <c r="A248" i="1"/>
  <c r="A249" i="1" s="1"/>
  <c r="E249" i="1" s="1"/>
  <c r="A243" i="1"/>
  <c r="A244" i="1" s="1"/>
  <c r="E244" i="1" s="1"/>
  <c r="B244" i="1"/>
  <c r="B203" i="1"/>
  <c r="B204" i="1" s="1"/>
  <c r="F204" i="1" s="1"/>
  <c r="G204" i="1" s="1"/>
  <c r="B223" i="1"/>
  <c r="B224" i="1" s="1"/>
  <c r="F224" i="1" s="1"/>
  <c r="G224" i="1" s="1"/>
  <c r="B218" i="1"/>
  <c r="B219" i="1" s="1"/>
  <c r="F219" i="1" s="1"/>
  <c r="G219" i="1" s="1"/>
  <c r="B213" i="1"/>
  <c r="B214" i="1" s="1"/>
  <c r="F214" i="1" s="1"/>
  <c r="G214" i="1" s="1"/>
  <c r="B208" i="1"/>
  <c r="B209" i="1" s="1"/>
  <c r="F209" i="1" s="1"/>
  <c r="G209" i="1" s="1"/>
  <c r="F239" i="1" l="1"/>
  <c r="G239" i="1" s="1"/>
  <c r="F244" i="1"/>
  <c r="G244" i="1" s="1"/>
  <c r="F249" i="1"/>
  <c r="G249" i="1" s="1"/>
  <c r="E199" i="1"/>
  <c r="F199" i="1" l="1"/>
  <c r="G199" i="1" s="1"/>
  <c r="B300" i="1" l="1"/>
  <c r="B310" i="1"/>
  <c r="B305" i="1"/>
  <c r="A519" i="1"/>
  <c r="B519" i="1"/>
  <c r="B424" i="1" l="1"/>
  <c r="B425" i="1" s="1"/>
  <c r="A424" i="1"/>
  <c r="A425" i="1" s="1"/>
  <c r="E425" i="1" s="1"/>
  <c r="A434" i="1"/>
  <c r="A435" i="1" s="1"/>
  <c r="E435" i="1" s="1"/>
  <c r="A429" i="1"/>
  <c r="A430" i="1" s="1"/>
  <c r="E430" i="1" s="1"/>
  <c r="B434" i="1"/>
  <c r="B435" i="1" s="1"/>
  <c r="B429" i="1"/>
  <c r="B430" i="1" s="1"/>
  <c r="A439" i="1"/>
  <c r="A440" i="1" s="1"/>
  <c r="E440" i="1" s="1"/>
  <c r="B439" i="1"/>
  <c r="B440" i="1" s="1"/>
  <c r="A444" i="1"/>
  <c r="A445" i="1" s="1"/>
  <c r="E445" i="1" s="1"/>
  <c r="B444" i="1"/>
  <c r="B445" i="1" s="1"/>
  <c r="A449" i="1"/>
  <c r="A450" i="1" s="1"/>
  <c r="E450" i="1" s="1"/>
  <c r="B449" i="1"/>
  <c r="B450" i="1" s="1"/>
  <c r="B454" i="1"/>
  <c r="B455" i="1" s="1"/>
  <c r="A459" i="1"/>
  <c r="A460" i="1" s="1"/>
  <c r="E460" i="1" s="1"/>
  <c r="A454" i="1"/>
  <c r="A455" i="1" s="1"/>
  <c r="E455" i="1" s="1"/>
  <c r="B459" i="1"/>
  <c r="B460" i="1" s="1"/>
  <c r="A514" i="1"/>
  <c r="A515" i="1" s="1"/>
  <c r="E515" i="1" s="1"/>
  <c r="A419" i="1"/>
  <c r="A420" i="1" s="1"/>
  <c r="E420" i="1" s="1"/>
  <c r="B514" i="1"/>
  <c r="B515" i="1" s="1"/>
  <c r="B419" i="1"/>
  <c r="B420" i="1" s="1"/>
  <c r="B504" i="1"/>
  <c r="B505" i="1" s="1"/>
  <c r="B509" i="1"/>
  <c r="B510" i="1" s="1"/>
  <c r="A504" i="1"/>
  <c r="A505" i="1" s="1"/>
  <c r="E505" i="1" s="1"/>
  <c r="A509" i="1"/>
  <c r="A510" i="1" s="1"/>
  <c r="E510" i="1" s="1"/>
  <c r="B494" i="1"/>
  <c r="B495" i="1" s="1"/>
  <c r="B499" i="1"/>
  <c r="B500" i="1" s="1"/>
  <c r="A494" i="1"/>
  <c r="A495" i="1" s="1"/>
  <c r="E495" i="1" s="1"/>
  <c r="A499" i="1"/>
  <c r="A500" i="1" s="1"/>
  <c r="E500" i="1" s="1"/>
  <c r="B520" i="1"/>
  <c r="A520" i="1"/>
  <c r="E520" i="1" s="1"/>
  <c r="F425" i="1" l="1"/>
  <c r="G425" i="1" s="1"/>
  <c r="F430" i="1"/>
  <c r="G430" i="1" s="1"/>
  <c r="F435" i="1"/>
  <c r="G435" i="1" s="1"/>
  <c r="F440" i="1"/>
  <c r="G440" i="1" s="1"/>
  <c r="F445" i="1"/>
  <c r="G445" i="1" s="1"/>
  <c r="F450" i="1"/>
  <c r="G450" i="1" s="1"/>
  <c r="F460" i="1"/>
  <c r="G460" i="1" s="1"/>
  <c r="F455" i="1"/>
  <c r="G455" i="1" s="1"/>
  <c r="F420" i="1"/>
  <c r="G420" i="1" s="1"/>
  <c r="F515" i="1"/>
  <c r="G515" i="1" s="1"/>
  <c r="F505" i="1"/>
  <c r="G505" i="1" s="1"/>
  <c r="F510" i="1"/>
  <c r="G510" i="1" s="1"/>
  <c r="F500" i="1"/>
  <c r="G500" i="1" s="1"/>
  <c r="F495" i="1"/>
  <c r="G495" i="1" s="1"/>
  <c r="F520" i="1"/>
  <c r="G520" i="1" s="1"/>
  <c r="B254" i="1" l="1"/>
  <c r="A264" i="1" s="1"/>
  <c r="A265" i="1" s="1"/>
  <c r="E265" i="1" s="1"/>
  <c r="A254" i="1"/>
  <c r="B264" i="1" s="1"/>
  <c r="B265" i="1" s="1"/>
  <c r="F265" i="1" l="1"/>
  <c r="G265" i="1" s="1"/>
  <c r="B259" i="1"/>
  <c r="B260" i="1" s="1"/>
  <c r="A259" i="1"/>
  <c r="A260" i="1" s="1"/>
  <c r="E260" i="1" s="1"/>
  <c r="B489" i="1"/>
  <c r="B490" i="1" s="1"/>
  <c r="A489" i="1"/>
  <c r="A490" i="1" s="1"/>
  <c r="E490" i="1" s="1"/>
  <c r="B474" i="1"/>
  <c r="B475" i="1" s="1"/>
  <c r="B464" i="1"/>
  <c r="B465" i="1" s="1"/>
  <c r="A474" i="1"/>
  <c r="A475" i="1" s="1"/>
  <c r="E475" i="1" s="1"/>
  <c r="A464" i="1"/>
  <c r="A465" i="1" s="1"/>
  <c r="E465" i="1" s="1"/>
  <c r="B469" i="1"/>
  <c r="B470" i="1" s="1"/>
  <c r="B484" i="1"/>
  <c r="B485" i="1" s="1"/>
  <c r="B479" i="1"/>
  <c r="B480" i="1" s="1"/>
  <c r="A469" i="1"/>
  <c r="A470" i="1" s="1"/>
  <c r="E470" i="1" s="1"/>
  <c r="A479" i="1"/>
  <c r="A480" i="1" s="1"/>
  <c r="E480" i="1" s="1"/>
  <c r="A484" i="1"/>
  <c r="A485" i="1" s="1"/>
  <c r="E485" i="1" s="1"/>
  <c r="F260" i="1" l="1"/>
  <c r="G260" i="1" s="1"/>
  <c r="F490" i="1"/>
  <c r="G490" i="1" s="1"/>
  <c r="F465" i="1"/>
  <c r="G465" i="1" s="1"/>
  <c r="F475" i="1"/>
  <c r="G475" i="1" s="1"/>
  <c r="F480" i="1"/>
  <c r="G480" i="1" s="1"/>
  <c r="F485" i="1"/>
  <c r="G485" i="1" s="1"/>
  <c r="F470" i="1"/>
  <c r="G470" i="1" s="1"/>
  <c r="A414" i="1"/>
  <c r="B325" i="1" l="1"/>
  <c r="A325" i="1"/>
  <c r="E325" i="1" s="1"/>
  <c r="E285" i="1"/>
  <c r="A300" i="1"/>
  <c r="F300" i="1" s="1"/>
  <c r="G300" i="1" s="1"/>
  <c r="A310" i="1"/>
  <c r="E310" i="1" s="1"/>
  <c r="A305" i="1"/>
  <c r="A315" i="1"/>
  <c r="E315" i="1" s="1"/>
  <c r="A320" i="1"/>
  <c r="E320" i="1" s="1"/>
  <c r="A415" i="1"/>
  <c r="E415" i="1" s="1"/>
  <c r="F325" i="1" l="1"/>
  <c r="G325" i="1" s="1"/>
  <c r="F285" i="1"/>
  <c r="G285" i="1" s="1"/>
  <c r="E300" i="1"/>
  <c r="F310" i="1"/>
  <c r="G310" i="1" s="1"/>
  <c r="E305" i="1"/>
  <c r="F305" i="1"/>
  <c r="G305" i="1" s="1"/>
  <c r="F415" i="1"/>
  <c r="G415" i="1" s="1"/>
  <c r="B550" i="1" l="1"/>
  <c r="B545" i="1"/>
  <c r="A535" i="1"/>
  <c r="A536" i="1" l="1"/>
  <c r="E536" i="1" s="1"/>
  <c r="A545" i="1"/>
  <c r="A546" i="1" s="1"/>
  <c r="E546" i="1" s="1"/>
  <c r="A550" i="1"/>
  <c r="A551" i="1" s="1"/>
  <c r="E551" i="1" s="1"/>
  <c r="A540" i="1"/>
  <c r="A541" i="1" s="1"/>
  <c r="F541" i="1" s="1"/>
  <c r="G541" i="1" s="1"/>
  <c r="F551" i="1" l="1"/>
  <c r="G551" i="1" s="1"/>
  <c r="F536" i="1"/>
  <c r="G536" i="1" s="1"/>
  <c r="F546" i="1"/>
  <c r="G546" i="1" s="1"/>
  <c r="E541" i="1"/>
  <c r="A525" i="1" l="1"/>
  <c r="A530" i="1" s="1"/>
  <c r="A526" i="1" l="1"/>
  <c r="E526" i="1" s="1"/>
  <c r="A531" i="1" l="1"/>
  <c r="F526" i="1"/>
  <c r="G526" i="1" s="1"/>
  <c r="F531" i="1" l="1"/>
  <c r="G531" i="1" s="1"/>
  <c r="E531" i="1"/>
  <c r="B269" i="1"/>
  <c r="B268" i="1"/>
  <c r="B274" i="1"/>
  <c r="A274" i="1"/>
  <c r="D3" i="1"/>
  <c r="H6" i="1" l="1"/>
  <c r="H5" i="1"/>
  <c r="H16" i="1"/>
  <c r="H15" i="1"/>
  <c r="H30" i="1"/>
  <c r="H31" i="1"/>
  <c r="H66" i="1"/>
  <c r="H65" i="1"/>
  <c r="H46" i="1"/>
  <c r="H45" i="1"/>
  <c r="H166" i="1"/>
  <c r="H165" i="1"/>
  <c r="H76" i="1"/>
  <c r="H75" i="1"/>
  <c r="H196" i="1"/>
  <c r="H195" i="1"/>
  <c r="H151" i="1"/>
  <c r="H150" i="1"/>
  <c r="H412" i="1"/>
  <c r="H411" i="1"/>
  <c r="H322" i="1"/>
  <c r="H321" i="1"/>
  <c r="H532" i="1"/>
  <c r="H534" i="1" s="1"/>
  <c r="H522" i="1"/>
  <c r="A270" i="1"/>
  <c r="E270" i="1" s="1"/>
  <c r="B270" i="1"/>
  <c r="A275" i="1"/>
  <c r="E275" i="1" s="1"/>
  <c r="H250" i="1"/>
  <c r="B279" i="1"/>
  <c r="B280" i="1" s="1"/>
  <c r="B275" i="1"/>
  <c r="H251" i="1"/>
  <c r="E255" i="1"/>
  <c r="H271" i="1"/>
  <c r="H272" i="1"/>
  <c r="A279" i="1"/>
  <c r="A280" i="1" s="1"/>
  <c r="E280" i="1" s="1"/>
  <c r="H266" i="1"/>
  <c r="H281" i="1"/>
  <c r="H267" i="1"/>
  <c r="H282" i="1"/>
  <c r="H7" i="1" l="1"/>
  <c r="H17" i="1"/>
  <c r="H32" i="1"/>
  <c r="H67" i="1"/>
  <c r="H77" i="1"/>
  <c r="H197" i="1"/>
  <c r="H413" i="1"/>
  <c r="H323" i="1"/>
  <c r="F270" i="1"/>
  <c r="G270" i="1" s="1"/>
  <c r="H252" i="1"/>
  <c r="H268" i="1"/>
  <c r="H152" i="1"/>
  <c r="F275" i="1"/>
  <c r="G275" i="1" s="1"/>
  <c r="F255" i="1"/>
  <c r="G255" i="1" s="1"/>
  <c r="H273" i="1"/>
  <c r="H283" i="1"/>
  <c r="F280" i="1"/>
  <c r="G280" i="1" s="1"/>
  <c r="B320" i="1"/>
  <c r="F320" i="1" s="1"/>
  <c r="G320" i="1" s="1"/>
  <c r="B315" i="1"/>
  <c r="F315" i="1" s="1"/>
  <c r="G315" i="1" s="1"/>
</calcChain>
</file>

<file path=xl/sharedStrings.xml><?xml version="1.0" encoding="utf-8"?>
<sst xmlns="http://schemas.openxmlformats.org/spreadsheetml/2006/main" count="430" uniqueCount="32">
  <si>
    <t>Stock</t>
  </si>
  <si>
    <t>Sell</t>
  </si>
  <si>
    <t>Buy</t>
  </si>
  <si>
    <t>9888 BAIDU</t>
  </si>
  <si>
    <t>9888 Baidu</t>
  </si>
  <si>
    <t>Base</t>
  </si>
  <si>
    <t>Now</t>
  </si>
  <si>
    <t>Change</t>
  </si>
  <si>
    <t>HS</t>
  </si>
  <si>
    <t>TB</t>
  </si>
  <si>
    <t>Earn</t>
  </si>
  <si>
    <r>
      <rPr>
        <sz val="11"/>
        <color rgb="FF000000"/>
        <rFont val="PMingLiu"/>
        <family val="1"/>
        <charset val="136"/>
      </rPr>
      <t>S</t>
    </r>
    <r>
      <rPr>
        <sz val="11"/>
        <color rgb="FF000000"/>
        <rFont val="新細明體"/>
        <family val="1"/>
        <charset val="136"/>
      </rPr>
      <t>ell</t>
    </r>
  </si>
  <si>
    <r>
      <rPr>
        <sz val="11"/>
        <color rgb="FF000000"/>
        <rFont val="PMingLiu"/>
        <family val="1"/>
        <charset val="136"/>
      </rPr>
      <t>B</t>
    </r>
    <r>
      <rPr>
        <sz val="11"/>
        <color rgb="FF000000"/>
        <rFont val="新細明體"/>
        <family val="1"/>
        <charset val="136"/>
      </rPr>
      <t>uy</t>
    </r>
  </si>
  <si>
    <t>9888 Bidu</t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</si>
  <si>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</si>
  <si>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</si>
  <si>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</si>
  <si>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</si>
  <si>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</si>
  <si>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</si>
  <si>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</si>
  <si>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</si>
  <si>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</si>
  <si>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</si>
  <si>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9888 BAIDU</t>
    <phoneticPr fontId="5" type="noConversion"/>
  </si>
  <si>
    <t>7WYS0%</t>
    <phoneticPr fontId="5" type="noConversion"/>
  </si>
  <si>
    <t>xxx</t>
    <phoneticPr fontId="5" type="noConversion"/>
  </si>
  <si>
    <t>xxx</t>
    <phoneticPr fontId="5" type="noConversion"/>
  </si>
  <si>
    <t>xxx</t>
    <phoneticPr fontId="5" type="noConversion"/>
  </si>
  <si>
    <t>xxx</t>
    <phoneticPr fontId="5" type="noConversion"/>
  </si>
  <si>
    <t>xxx</t>
    <phoneticPr fontId="5" type="noConversion"/>
  </si>
  <si>
    <t>xxx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</si>
</sst>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_-[$$-3C09]* #,##0.00_-;\-[$$-3C09]* #,##0.00_-;_-[$$-3C09]* &quot;-&quot;??_-;_-@"/>
  </numFmts>
  <fonts count="7">
    <font>
      <sz val="11"/>
      <color rgb="FF000000"/>
      <name val="新細明體"/>
      <scheme val="minor"/>
    </font>
    <font>
      <sz val="11"/>
      <name val="PMingLiu"/>
      <family val="1"/>
      <charset val="136"/>
    </font>
    <font>
      <sz val="11"/>
      <color rgb="FF000000"/>
      <name val="PMingLiu"/>
      <family val="1"/>
      <charset val="136"/>
    </font>
    <font>
      <sz val="11"/>
      <color rgb="FFFF0000"/>
      <name val="PMingLiu"/>
      <family val="1"/>
      <charset val="136"/>
    </font>
    <font>
      <sz val="11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16" fontId="1" fillId="0" borderId="0" xfId="0" applyNumberFormat="1" applyFont="1"/>
    <xf numFmtId="10" fontId="1" fillId="0" borderId="0" xfId="0" applyNumberFormat="1" applyFont="1"/>
    <xf numFmtId="176" fontId="1" fillId="0" borderId="0" xfId="0" applyNumberFormat="1" applyFont="1"/>
    <xf numFmtId="0" fontId="1" fillId="2" borderId="1" xfId="0" applyFont="1" applyFill="1" applyBorder="1"/>
    <xf numFmtId="0" fontId="1" fillId="0" borderId="0" xfId="0" applyFont="1"/>
    <xf numFmtId="16" fontId="2" fillId="0" borderId="0" xfId="0" applyNumberFormat="1" applyFont="1"/>
    <xf numFmtId="0" fontId="1" fillId="3" borderId="1" xfId="0" applyFont="1" applyFill="1" applyBorder="1"/>
    <xf numFmtId="177" fontId="1" fillId="0" borderId="0" xfId="0" applyNumberFormat="1" applyFont="1"/>
    <xf numFmtId="0" fontId="2" fillId="0" borderId="0" xfId="0" applyFont="1"/>
    <xf numFmtId="10" fontId="1" fillId="2" borderId="1" xfId="0" applyNumberFormat="1" applyFont="1" applyFill="1" applyBorder="1"/>
    <xf numFmtId="176" fontId="1" fillId="2" borderId="1" xfId="0" applyNumberFormat="1" applyFont="1" applyFill="1" applyBorder="1"/>
    <xf numFmtId="0" fontId="1" fillId="4" borderId="1" xfId="0" applyFont="1" applyFill="1" applyBorder="1"/>
    <xf numFmtId="177" fontId="1" fillId="0" borderId="2" xfId="0" applyNumberFormat="1" applyFont="1" applyBorder="1"/>
    <xf numFmtId="0" fontId="1" fillId="0" borderId="3" xfId="0" applyFont="1" applyBorder="1"/>
    <xf numFmtId="177" fontId="1" fillId="0" borderId="4" xfId="0" applyNumberFormat="1" applyFont="1" applyBorder="1"/>
    <xf numFmtId="0" fontId="1" fillId="0" borderId="5" xfId="0" applyFont="1" applyBorder="1"/>
    <xf numFmtId="177" fontId="3" fillId="0" borderId="0" xfId="0" applyNumberFormat="1" applyFont="1"/>
    <xf numFmtId="177" fontId="2" fillId="0" borderId="0" xfId="0" applyNumberFormat="1" applyFont="1"/>
    <xf numFmtId="16" fontId="2" fillId="0" borderId="0" xfId="0" applyNumberFormat="1" applyFont="1" applyAlignment="1"/>
    <xf numFmtId="0" fontId="1" fillId="3" borderId="1" xfId="0" applyFont="1" applyFill="1" applyBorder="1" applyAlignment="1"/>
    <xf numFmtId="0" fontId="1" fillId="0" borderId="0" xfId="0" applyFont="1" applyAlignment="1"/>
    <xf numFmtId="0" fontId="1" fillId="0" borderId="0" xfId="0" applyFont="1" applyFill="1"/>
    <xf numFmtId="0" fontId="1" fillId="0" borderId="1" xfId="0" applyFont="1" applyFill="1" applyBorder="1"/>
    <xf numFmtId="0" fontId="0" fillId="5" borderId="0" xfId="0" applyFont="1" applyFill="1" applyAlignment="1"/>
    <xf numFmtId="177" fontId="1" fillId="0" borderId="0" xfId="0" applyNumberFormat="1" applyFont="1" applyFill="1"/>
    <xf numFmtId="0" fontId="0" fillId="6" borderId="0" xfId="0" applyFont="1" applyFill="1" applyAlignment="1"/>
    <xf numFmtId="0" fontId="0" fillId="0" borderId="0" xfId="0" applyFont="1" applyFill="1" applyAlignment="1"/>
    <xf numFmtId="0" fontId="0" fillId="7" borderId="0" xfId="0" applyFont="1" applyFill="1" applyAlignment="1"/>
    <xf numFmtId="0" fontId="6" fillId="0" borderId="0" xfId="0" applyFont="1" applyAlignment="1"/>
    <xf numFmtId="0" fontId="2" fillId="8" borderId="0" xfId="0" applyFont="1" applyFill="1"/>
    <xf numFmtId="16" fontId="2" fillId="8" borderId="0" xfId="0" applyNumberFormat="1" applyFont="1" applyFill="1"/>
    <xf numFmtId="0" fontId="0" fillId="8" borderId="0" xfId="0" applyFont="1" applyFill="1" applyAlignment="1"/>
    <xf numFmtId="0" fontId="1" fillId="8" borderId="0" xfId="0" applyFont="1" applyFill="1"/>
    <xf numFmtId="176" fontId="1" fillId="8" borderId="0" xfId="0" applyNumberFormat="1" applyFont="1" applyFill="1"/>
    <xf numFmtId="177" fontId="1" fillId="8" borderId="0" xfId="0" applyNumberFormat="1" applyFont="1" applyFill="1"/>
    <xf numFmtId="177" fontId="2" fillId="8" borderId="0" xfId="0" applyNumberFormat="1" applyFont="1" applyFill="1"/>
    <xf numFmtId="10" fontId="1" fillId="8" borderId="0" xfId="0" applyNumberFormat="1" applyFont="1" applyFill="1"/>
  </cellXfs>
  <cellStyles count="1">
    <cellStyle name="一般" xfId="0" builtinId="0"/>
  </cellStyles>
  <dxfs count="1810"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B7B7B"/>
          <bgColor rgb="FF7B7B7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3"/>
  <sheetViews>
    <sheetView tabSelected="1" zoomScale="81" zoomScaleNormal="85" workbookViewId="0">
      <selection activeCell="G10" sqref="G10"/>
    </sheetView>
  </sheetViews>
  <sheetFormatPr defaultColWidth="14.42578125" defaultRowHeight="15" customHeight="1"/>
  <cols>
    <col min="1" max="1" width="11.5703125" customWidth="1"/>
    <col min="2" max="2" width="11.7109375" customWidth="1"/>
    <col min="3" max="3" width="9" customWidth="1"/>
    <col min="4" max="4" width="11" customWidth="1"/>
    <col min="5" max="5" width="14.42578125" customWidth="1"/>
    <col min="6" max="6" width="14" customWidth="1"/>
    <col min="7" max="7" width="6.92578125" customWidth="1"/>
    <col min="8" max="8" width="10" customWidth="1"/>
    <col min="9" max="9" width="10.5703125" customWidth="1"/>
    <col min="10" max="10" width="11.7109375" customWidth="1"/>
    <col min="11" max="11" width="13.42578125" customWidth="1"/>
    <col min="12" max="16" width="8.7109375" customWidth="1"/>
    <col min="17" max="17" width="11.28515625" customWidth="1"/>
    <col min="18" max="18" width="8.7109375" customWidth="1"/>
    <col min="19" max="19" width="11.92578125" customWidth="1"/>
    <col min="20" max="24" width="8.7109375" customWidth="1"/>
    <col min="25" max="25" width="11.0703125" customWidth="1"/>
    <col min="26" max="26" width="11.42578125" customWidth="1"/>
  </cols>
  <sheetData>
    <row r="1" spans="1:26" ht="15.75" customHeight="1">
      <c r="A1" s="4"/>
      <c r="B1" s="4"/>
      <c r="C1" s="4"/>
      <c r="D1" s="4"/>
      <c r="E1" s="4"/>
      <c r="F1" s="4"/>
      <c r="G1" s="4"/>
      <c r="H1" s="1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1"/>
    </row>
    <row r="2" spans="1:26" ht="15.75" customHeight="1">
      <c r="A2" s="5"/>
      <c r="B2" s="5" t="s">
        <v>5</v>
      </c>
      <c r="C2" s="5" t="s">
        <v>6</v>
      </c>
      <c r="D2" s="5" t="s">
        <v>7</v>
      </c>
      <c r="H2" s="2"/>
      <c r="Z2" s="3"/>
    </row>
    <row r="3" spans="1:26" ht="15.75" customHeight="1">
      <c r="A3" s="5" t="s">
        <v>8</v>
      </c>
      <c r="B3" s="5">
        <v>25566</v>
      </c>
      <c r="C3" s="12">
        <v>24695</v>
      </c>
      <c r="D3" s="2">
        <f>(C3-B3)/B3</f>
        <v>-3.4068684972228744E-2</v>
      </c>
      <c r="H3" s="2"/>
      <c r="Z3" s="3"/>
    </row>
    <row r="4" spans="1:26" ht="15.75" customHeight="1" thickBot="1">
      <c r="A4" s="5"/>
      <c r="B4" s="5"/>
      <c r="C4" s="5"/>
      <c r="H4" s="2" t="s">
        <v>9</v>
      </c>
      <c r="K4" t="s">
        <v>5</v>
      </c>
      <c r="Z4" s="3"/>
    </row>
    <row r="5" spans="1:26" ht="15.75" customHeight="1" thickTop="1">
      <c r="A5" t="s">
        <v>1</v>
      </c>
      <c r="B5" t="s">
        <v>2</v>
      </c>
      <c r="C5" s="6">
        <v>46262</v>
      </c>
      <c r="H5" s="2">
        <f>(I5-K5)/K5-$D$3</f>
        <v>-3.7787602452920885E-2</v>
      </c>
      <c r="I5" s="13">
        <v>1.55</v>
      </c>
      <c r="J5" s="14">
        <v>371</v>
      </c>
      <c r="K5">
        <v>1.67</v>
      </c>
    </row>
    <row r="6" spans="1:26" ht="15.75" customHeight="1" thickBot="1">
      <c r="A6" s="5">
        <v>371</v>
      </c>
      <c r="B6" s="5">
        <v>855</v>
      </c>
      <c r="H6" s="2">
        <f>(I6-K6)/K6-$D$3</f>
        <v>-1.525866928786089E-2</v>
      </c>
      <c r="I6" s="15">
        <v>4.24</v>
      </c>
      <c r="J6" s="16">
        <v>855</v>
      </c>
      <c r="K6">
        <v>4.46</v>
      </c>
    </row>
    <row r="7" spans="1:26" ht="15.75" customHeight="1" thickTop="1">
      <c r="A7" s="7" t="s">
        <v>27</v>
      </c>
      <c r="B7" s="8" t="s">
        <v>27</v>
      </c>
      <c r="H7" s="2">
        <f>H5-H6</f>
        <v>-2.2528933165059994E-2</v>
      </c>
    </row>
    <row r="8" spans="1:26" ht="15.75" customHeight="1">
      <c r="A8" s="17">
        <f>I5</f>
        <v>1.55</v>
      </c>
      <c r="B8" s="17">
        <f>I6</f>
        <v>4.24</v>
      </c>
      <c r="C8">
        <v>600</v>
      </c>
      <c r="D8" t="s">
        <v>0</v>
      </c>
      <c r="V8" s="3"/>
    </row>
    <row r="9" spans="1:26" ht="15.75" customHeight="1">
      <c r="A9" s="5"/>
      <c r="B9" s="8"/>
      <c r="C9">
        <v>300</v>
      </c>
      <c r="D9" t="s">
        <v>10</v>
      </c>
      <c r="E9" s="8">
        <f>A9</f>
        <v>0</v>
      </c>
      <c r="F9" s="8">
        <f>(B9+A9)</f>
        <v>0</v>
      </c>
      <c r="G9" t="str">
        <f>IF(F9&gt;0, "TRADE","H")</f>
        <v>H</v>
      </c>
      <c r="V9" s="3"/>
    </row>
    <row r="10" spans="1:26" ht="15.75" customHeight="1">
      <c r="A10" t="s">
        <v>1</v>
      </c>
      <c r="B10" t="s">
        <v>2</v>
      </c>
      <c r="C10" s="6">
        <v>46259</v>
      </c>
    </row>
    <row r="11" spans="1:26" ht="15.75" customHeight="1">
      <c r="A11" s="5">
        <v>371</v>
      </c>
      <c r="B11" s="5">
        <v>855</v>
      </c>
    </row>
    <row r="12" spans="1:26" ht="15.75" customHeight="1">
      <c r="A12" s="7">
        <f>-0.0554+1.73</f>
        <v>1.6746000000000001</v>
      </c>
      <c r="B12" s="8">
        <v>4.5</v>
      </c>
    </row>
    <row r="13" spans="1:26" ht="15.75" customHeight="1">
      <c r="A13" s="8">
        <f>$A$8</f>
        <v>1.55</v>
      </c>
      <c r="B13" s="8">
        <f>$B$8</f>
        <v>4.24</v>
      </c>
      <c r="C13">
        <v>2000</v>
      </c>
      <c r="D13" t="s">
        <v>0</v>
      </c>
      <c r="V13" s="3"/>
    </row>
    <row r="14" spans="1:26" ht="15.75" customHeight="1" thickBot="1">
      <c r="A14" s="5">
        <f>(A13-A12)*C14</f>
        <v>-747.60000000000025</v>
      </c>
      <c r="B14" s="8">
        <f>C13*(B12-B13)</f>
        <v>519.99999999999955</v>
      </c>
      <c r="C14">
        <v>6000</v>
      </c>
      <c r="D14" t="s">
        <v>10</v>
      </c>
      <c r="E14" s="8">
        <f>A14</f>
        <v>-747.60000000000025</v>
      </c>
      <c r="F14" s="8">
        <f>(B14+A14)</f>
        <v>-227.6000000000007</v>
      </c>
      <c r="G14" t="str">
        <f>IF(F14&gt;0, "TRADE","H")</f>
        <v>H</v>
      </c>
      <c r="V14" s="3"/>
    </row>
    <row r="15" spans="1:26" ht="15.75" customHeight="1" thickTop="1">
      <c r="A15" t="s">
        <v>1</v>
      </c>
      <c r="B15" t="s">
        <v>2</v>
      </c>
      <c r="C15" s="6">
        <v>46154</v>
      </c>
      <c r="H15" s="2">
        <f>(I15-K15)/K15-$D$3</f>
        <v>-1.5062828675413864E-2</v>
      </c>
      <c r="I15" s="13">
        <v>38.32</v>
      </c>
      <c r="J15" s="14">
        <v>2230</v>
      </c>
      <c r="K15">
        <v>40.299999999999997</v>
      </c>
    </row>
    <row r="16" spans="1:26" ht="15.75" customHeight="1" thickBot="1">
      <c r="A16" s="5">
        <v>2230</v>
      </c>
      <c r="B16" s="5">
        <v>600089</v>
      </c>
      <c r="H16" s="2">
        <f>(I16-K16)/K16-$D$3</f>
        <v>-5.0615057840107766E-2</v>
      </c>
      <c r="I16" s="15">
        <v>17.510000000000002</v>
      </c>
      <c r="J16" s="16">
        <v>600089</v>
      </c>
      <c r="K16">
        <v>19.13</v>
      </c>
    </row>
    <row r="17" spans="1:22" ht="15.75" customHeight="1" thickTop="1">
      <c r="A17" s="7" t="s">
        <v>26</v>
      </c>
      <c r="B17" s="8" t="s">
        <v>28</v>
      </c>
      <c r="H17" s="2">
        <f>H15-H16</f>
        <v>3.5552229164693902E-2</v>
      </c>
    </row>
    <row r="18" spans="1:22" ht="15.75" customHeight="1">
      <c r="A18" s="17">
        <f>I15</f>
        <v>38.32</v>
      </c>
      <c r="B18" s="17">
        <f>I16</f>
        <v>17.510000000000002</v>
      </c>
      <c r="C18">
        <v>600</v>
      </c>
      <c r="D18" t="s">
        <v>0</v>
      </c>
      <c r="V18" s="3"/>
    </row>
    <row r="19" spans="1:22" ht="15.75" customHeight="1">
      <c r="A19" s="5"/>
      <c r="B19" s="8"/>
      <c r="C19">
        <v>300</v>
      </c>
      <c r="D19" t="s">
        <v>10</v>
      </c>
      <c r="E19" s="8">
        <f>A19</f>
        <v>0</v>
      </c>
      <c r="F19" s="8">
        <f>(B19+A19)</f>
        <v>0</v>
      </c>
      <c r="G19" t="str">
        <f>IF(F19&gt;0, "TRADE","H")</f>
        <v>H</v>
      </c>
      <c r="V19" s="3"/>
    </row>
    <row r="20" spans="1:22" ht="15.75" customHeight="1">
      <c r="A20" t="s">
        <v>1</v>
      </c>
      <c r="B20" t="s">
        <v>2</v>
      </c>
      <c r="C20" s="6">
        <v>46259</v>
      </c>
    </row>
    <row r="21" spans="1:22" ht="15.75" customHeight="1">
      <c r="A21" s="5">
        <v>60089</v>
      </c>
      <c r="B21" s="5">
        <v>2230</v>
      </c>
    </row>
    <row r="22" spans="1:22" ht="15.75" customHeight="1">
      <c r="A22" s="7">
        <v>17.510000000000002</v>
      </c>
      <c r="B22" s="8">
        <v>38.32</v>
      </c>
    </row>
    <row r="23" spans="1:22" ht="15.75" customHeight="1">
      <c r="A23" s="8">
        <f>$B$18</f>
        <v>17.510000000000002</v>
      </c>
      <c r="B23" s="8">
        <f>$A$18</f>
        <v>38.32</v>
      </c>
      <c r="C23">
        <v>300</v>
      </c>
      <c r="D23" t="s">
        <v>0</v>
      </c>
      <c r="V23" s="3"/>
    </row>
    <row r="24" spans="1:22" ht="15.75" customHeight="1">
      <c r="A24" s="5">
        <f>(A23-A22)*C24</f>
        <v>0</v>
      </c>
      <c r="B24" s="8">
        <f>C23*(B22-B23)</f>
        <v>0</v>
      </c>
      <c r="C24">
        <v>600</v>
      </c>
      <c r="D24" t="s">
        <v>10</v>
      </c>
      <c r="E24" s="8">
        <f>A24</f>
        <v>0</v>
      </c>
      <c r="F24" s="8">
        <f>(B24+A24)</f>
        <v>0</v>
      </c>
      <c r="G24" t="str">
        <f>IF(F24&gt;0, "TRADE","H")</f>
        <v>H</v>
      </c>
      <c r="V24" s="3"/>
    </row>
    <row r="25" spans="1:22" ht="15.75" customHeight="1">
      <c r="A25" t="s">
        <v>1</v>
      </c>
      <c r="B25" t="s">
        <v>2</v>
      </c>
      <c r="C25" s="6">
        <v>46259</v>
      </c>
    </row>
    <row r="26" spans="1:22" ht="15.75" customHeight="1">
      <c r="A26" s="5">
        <v>60089</v>
      </c>
      <c r="B26" s="5">
        <v>2230</v>
      </c>
    </row>
    <row r="27" spans="1:22" ht="15.75" customHeight="1">
      <c r="A27" s="7">
        <v>19</v>
      </c>
      <c r="B27" s="8">
        <v>39.32</v>
      </c>
    </row>
    <row r="28" spans="1:22" ht="15.75" customHeight="1">
      <c r="A28" s="8">
        <f>$B$18</f>
        <v>17.510000000000002</v>
      </c>
      <c r="B28" s="8">
        <f>$A$18</f>
        <v>38.32</v>
      </c>
      <c r="C28">
        <v>300</v>
      </c>
      <c r="D28" t="s">
        <v>0</v>
      </c>
      <c r="V28" s="3"/>
    </row>
    <row r="29" spans="1:22" ht="15.75" customHeight="1" thickBot="1">
      <c r="A29" s="5">
        <f>(A28-A27)*C29</f>
        <v>-893.99999999999909</v>
      </c>
      <c r="B29" s="8">
        <f>C28*(B27-B28)</f>
        <v>300</v>
      </c>
      <c r="C29">
        <v>600</v>
      </c>
      <c r="D29" t="s">
        <v>10</v>
      </c>
      <c r="E29" s="8">
        <f>A29</f>
        <v>-893.99999999999909</v>
      </c>
      <c r="F29" s="8">
        <f>(B29+A29)</f>
        <v>-593.99999999999909</v>
      </c>
      <c r="G29" t="str">
        <f>IF(F29&gt;0, "TRADE","H")</f>
        <v>H</v>
      </c>
      <c r="V29" s="3"/>
    </row>
    <row r="30" spans="1:22" ht="15.75" customHeight="1" thickTop="1">
      <c r="A30" t="s">
        <v>1</v>
      </c>
      <c r="B30" t="s">
        <v>2</v>
      </c>
      <c r="C30" s="6">
        <v>46217</v>
      </c>
      <c r="H30" s="2">
        <f>(I30-K30)/K30-$D$3</f>
        <v>-3.0380379476835737E-2</v>
      </c>
      <c r="I30" s="13">
        <v>90</v>
      </c>
      <c r="J30" s="14" t="s">
        <v>20</v>
      </c>
      <c r="K30">
        <v>96.2</v>
      </c>
    </row>
    <row r="31" spans="1:22" ht="15.75" customHeight="1" thickBot="1">
      <c r="A31" s="5" t="s">
        <v>22</v>
      </c>
      <c r="B31" s="5">
        <v>9988</v>
      </c>
      <c r="H31" s="2">
        <f>(I31-K31)/K31-$D$3</f>
        <v>-2.7227287006755495E-2</v>
      </c>
      <c r="I31" s="15">
        <v>107.2</v>
      </c>
      <c r="J31" s="16">
        <v>9988</v>
      </c>
      <c r="K31">
        <v>114.2</v>
      </c>
    </row>
    <row r="32" spans="1:22" ht="15.75" customHeight="1" thickTop="1">
      <c r="A32" s="7" t="s">
        <v>27</v>
      </c>
      <c r="B32" s="8" t="s">
        <v>27</v>
      </c>
      <c r="H32" s="2">
        <f>H30-H31</f>
        <v>-3.1530924700802418E-3</v>
      </c>
    </row>
    <row r="33" spans="1:22" ht="15.75" customHeight="1">
      <c r="A33" s="17">
        <f>I30</f>
        <v>90</v>
      </c>
      <c r="B33" s="17">
        <f>I31</f>
        <v>107.2</v>
      </c>
      <c r="C33">
        <v>200</v>
      </c>
      <c r="D33" t="s">
        <v>0</v>
      </c>
      <c r="V33" s="3"/>
    </row>
    <row r="34" spans="1:22" ht="15.75" customHeight="1">
      <c r="A34" s="5"/>
      <c r="B34" s="8"/>
      <c r="C34">
        <v>200</v>
      </c>
      <c r="D34" t="s">
        <v>10</v>
      </c>
      <c r="E34" s="8">
        <f>A34</f>
        <v>0</v>
      </c>
      <c r="F34" s="8">
        <f>(B34+A34)</f>
        <v>0</v>
      </c>
      <c r="G34" t="str">
        <f>IF(F34&gt;0, "TRADE","H")</f>
        <v>H</v>
      </c>
      <c r="V34" s="3"/>
    </row>
    <row r="35" spans="1:22" ht="15.75" customHeight="1">
      <c r="A35" t="s">
        <v>1</v>
      </c>
      <c r="B35" t="s">
        <v>2</v>
      </c>
      <c r="C35" s="6">
        <v>46217</v>
      </c>
    </row>
    <row r="36" spans="1:22" ht="15.75" customHeight="1">
      <c r="A36" s="5" t="s">
        <v>22</v>
      </c>
      <c r="B36" s="5">
        <v>9988</v>
      </c>
    </row>
    <row r="37" spans="1:22" ht="15.75" customHeight="1">
      <c r="A37" s="7">
        <v>109.3</v>
      </c>
      <c r="B37" s="8">
        <v>108.7</v>
      </c>
    </row>
    <row r="38" spans="1:22" ht="15.75" customHeight="1">
      <c r="A38" s="8">
        <f>$A$33</f>
        <v>90</v>
      </c>
      <c r="B38" s="8">
        <f>$B$33</f>
        <v>107.2</v>
      </c>
      <c r="C38">
        <v>200</v>
      </c>
      <c r="D38" t="s">
        <v>0</v>
      </c>
      <c r="V38" s="3"/>
    </row>
    <row r="39" spans="1:22" ht="15.75" customHeight="1">
      <c r="A39" s="5">
        <f>(A38-A37)*C39</f>
        <v>-3859.9999999999995</v>
      </c>
      <c r="B39" s="8">
        <f>C38*(B37-B38)</f>
        <v>300</v>
      </c>
      <c r="C39">
        <v>200</v>
      </c>
      <c r="D39" t="s">
        <v>10</v>
      </c>
      <c r="E39" s="8">
        <f>A39</f>
        <v>-3859.9999999999995</v>
      </c>
      <c r="F39" s="8">
        <f>(B39+A39)</f>
        <v>-3559.9999999999995</v>
      </c>
      <c r="G39" t="str">
        <f>IF(F39&gt;0, "TRADE","H")</f>
        <v>H</v>
      </c>
      <c r="V39" s="3"/>
    </row>
    <row r="40" spans="1:22" ht="15.75" customHeight="1">
      <c r="A40" t="s">
        <v>1</v>
      </c>
      <c r="B40" t="s">
        <v>2</v>
      </c>
      <c r="C40" s="6">
        <v>46217</v>
      </c>
    </row>
    <row r="41" spans="1:22" ht="15.75" customHeight="1">
      <c r="A41" s="5" t="s">
        <v>22</v>
      </c>
      <c r="B41" s="5">
        <v>9988</v>
      </c>
    </row>
    <row r="42" spans="1:22" ht="15.75" customHeight="1">
      <c r="A42" s="7">
        <v>105.7</v>
      </c>
      <c r="B42" s="8">
        <v>107.2</v>
      </c>
    </row>
    <row r="43" spans="1:22" ht="15.75" customHeight="1">
      <c r="A43" s="8">
        <f>$A$33</f>
        <v>90</v>
      </c>
      <c r="B43" s="8">
        <f>$B$33</f>
        <v>107.2</v>
      </c>
      <c r="C43">
        <v>200</v>
      </c>
      <c r="D43" t="s">
        <v>0</v>
      </c>
      <c r="V43" s="3"/>
    </row>
    <row r="44" spans="1:22" ht="15.75" customHeight="1" thickBot="1">
      <c r="A44" s="5">
        <f>(A43-A42)*C44</f>
        <v>-3140.0000000000005</v>
      </c>
      <c r="B44" s="8">
        <f>C43*(B42-B43)</f>
        <v>0</v>
      </c>
      <c r="C44">
        <v>200</v>
      </c>
      <c r="D44" t="s">
        <v>10</v>
      </c>
      <c r="E44" s="8">
        <f>A44</f>
        <v>-3140.0000000000005</v>
      </c>
      <c r="F44" s="8">
        <f>(B44+A44)</f>
        <v>-3140.0000000000005</v>
      </c>
      <c r="G44" t="str">
        <f>IF(F44&gt;0, "TRADE","H")</f>
        <v>H</v>
      </c>
      <c r="V44" s="3"/>
    </row>
    <row r="45" spans="1:22" ht="15.75" customHeight="1" thickTop="1">
      <c r="A45" t="s">
        <v>1</v>
      </c>
      <c r="B45" t="s">
        <v>2</v>
      </c>
      <c r="C45" s="6">
        <v>46084</v>
      </c>
      <c r="H45" s="2">
        <f>(I45-K45)/K45-$D$3</f>
        <v>-0.10783818864196189</v>
      </c>
      <c r="I45" s="13">
        <v>1.9350000000000001</v>
      </c>
      <c r="J45" s="14">
        <v>968</v>
      </c>
      <c r="K45">
        <v>2.2549999999999999</v>
      </c>
    </row>
    <row r="46" spans="1:22" ht="15.75" customHeight="1" thickBot="1">
      <c r="A46" s="5">
        <v>3800</v>
      </c>
      <c r="B46" s="5">
        <v>968</v>
      </c>
      <c r="H46" s="2">
        <f>(I46-K46)/K46-$D$3</f>
        <v>8.4068684972228788E-2</v>
      </c>
      <c r="I46" s="15">
        <v>0.73499999999999999</v>
      </c>
      <c r="J46" s="16">
        <v>3800</v>
      </c>
      <c r="K46">
        <v>0.7</v>
      </c>
    </row>
    <row r="47" spans="1:22" ht="15.75" customHeight="1" thickTop="1">
      <c r="A47" s="7" t="s">
        <v>27</v>
      </c>
      <c r="B47" s="8" t="s">
        <v>29</v>
      </c>
      <c r="H47" s="2" t="s">
        <v>25</v>
      </c>
    </row>
    <row r="48" spans="1:22" ht="15.75" customHeight="1">
      <c r="A48" s="17">
        <f>I46</f>
        <v>0.73499999999999999</v>
      </c>
      <c r="B48" s="17">
        <f>I45</f>
        <v>1.9350000000000001</v>
      </c>
      <c r="C48">
        <v>4000</v>
      </c>
      <c r="D48" t="s">
        <v>0</v>
      </c>
      <c r="V48" s="3"/>
    </row>
    <row r="49" spans="1:22" ht="15.75" customHeight="1">
      <c r="A49" s="5"/>
      <c r="B49" s="8"/>
      <c r="C49">
        <v>12000</v>
      </c>
      <c r="D49" t="s">
        <v>10</v>
      </c>
      <c r="E49" s="8">
        <f>A49</f>
        <v>0</v>
      </c>
      <c r="F49" s="8">
        <f>(B49+A49)</f>
        <v>0</v>
      </c>
      <c r="G49" t="str">
        <f>IF(F49&gt;0, "TRADE","H")</f>
        <v>H</v>
      </c>
      <c r="V49" s="3"/>
    </row>
    <row r="50" spans="1:22" ht="15.75" customHeight="1">
      <c r="A50" t="s">
        <v>1</v>
      </c>
      <c r="B50" t="s">
        <v>2</v>
      </c>
      <c r="C50" s="6">
        <v>46286</v>
      </c>
    </row>
    <row r="51" spans="1:22" ht="15.75" customHeight="1">
      <c r="A51" s="5">
        <v>968</v>
      </c>
      <c r="B51" s="5">
        <v>3800</v>
      </c>
    </row>
    <row r="52" spans="1:22" ht="15.75" customHeight="1">
      <c r="A52" s="7">
        <v>2.0299999999999998</v>
      </c>
      <c r="B52" s="8">
        <v>0.755</v>
      </c>
    </row>
    <row r="53" spans="1:22" ht="15.75" customHeight="1">
      <c r="A53" s="8">
        <f>$B$48</f>
        <v>1.9350000000000001</v>
      </c>
      <c r="B53" s="8">
        <f>$A$48</f>
        <v>0.73499999999999999</v>
      </c>
      <c r="C53">
        <v>12000</v>
      </c>
      <c r="D53" t="s">
        <v>0</v>
      </c>
      <c r="V53" s="3"/>
    </row>
    <row r="54" spans="1:22" ht="15.75" customHeight="1">
      <c r="A54" s="5">
        <f>(A53-A52)*C54</f>
        <v>-379.99999999999898</v>
      </c>
      <c r="B54" s="8">
        <f>C53*(B52-B53)</f>
        <v>240.00000000000023</v>
      </c>
      <c r="C54">
        <v>4000</v>
      </c>
      <c r="D54" t="s">
        <v>10</v>
      </c>
      <c r="E54" s="8">
        <f>A54</f>
        <v>-379.99999999999898</v>
      </c>
      <c r="F54" s="8">
        <f>(B54+A54)</f>
        <v>-139.99999999999875</v>
      </c>
      <c r="G54" t="str">
        <f>IF(F54&gt;0, "TRADE","H")</f>
        <v>H</v>
      </c>
      <c r="V54" s="3"/>
    </row>
    <row r="55" spans="1:22" ht="15.75" customHeight="1">
      <c r="A55" t="s">
        <v>1</v>
      </c>
      <c r="B55" t="s">
        <v>2</v>
      </c>
      <c r="C55" s="6">
        <v>46260</v>
      </c>
    </row>
    <row r="56" spans="1:22" ht="15.75" customHeight="1">
      <c r="A56" s="5">
        <v>968</v>
      </c>
      <c r="B56" s="5">
        <v>3800</v>
      </c>
    </row>
    <row r="57" spans="1:22" ht="15.75" customHeight="1">
      <c r="A57" s="7">
        <v>2.355</v>
      </c>
      <c r="B57" s="8">
        <v>0.75</v>
      </c>
    </row>
    <row r="58" spans="1:22" ht="15.75" customHeight="1">
      <c r="A58" s="8">
        <f>$B$48</f>
        <v>1.9350000000000001</v>
      </c>
      <c r="B58" s="8">
        <f>$A$48</f>
        <v>0.73499999999999999</v>
      </c>
      <c r="C58">
        <v>12000</v>
      </c>
      <c r="D58" t="s">
        <v>0</v>
      </c>
      <c r="V58" s="3"/>
    </row>
    <row r="59" spans="1:22" ht="15.75" customHeight="1">
      <c r="A59" s="5">
        <f>(A58-A57)*C59</f>
        <v>-1679.9999999999998</v>
      </c>
      <c r="B59" s="8">
        <f>C58*(B57-B58)</f>
        <v>180.00000000000017</v>
      </c>
      <c r="C59">
        <v>4000</v>
      </c>
      <c r="D59" t="s">
        <v>10</v>
      </c>
      <c r="E59" s="8">
        <f>A59</f>
        <v>-1679.9999999999998</v>
      </c>
      <c r="F59" s="8">
        <f>(B59+A59)</f>
        <v>-1499.9999999999995</v>
      </c>
      <c r="G59" t="str">
        <f>IF(F59&gt;0, "TRADE","H")</f>
        <v>H</v>
      </c>
      <c r="V59" s="3"/>
    </row>
    <row r="60" spans="1:22" ht="15.75" customHeight="1">
      <c r="A60" t="s">
        <v>1</v>
      </c>
      <c r="B60" t="s">
        <v>2</v>
      </c>
      <c r="C60" s="6">
        <v>46240</v>
      </c>
    </row>
    <row r="61" spans="1:22" ht="15.75" customHeight="1">
      <c r="A61" s="5">
        <v>968</v>
      </c>
      <c r="B61" s="5">
        <v>3800</v>
      </c>
    </row>
    <row r="62" spans="1:22" ht="15.75" customHeight="1">
      <c r="A62" s="7">
        <f>-0.0023+2.32</f>
        <v>2.3176999999999999</v>
      </c>
      <c r="B62" s="8">
        <v>0.68500000000000005</v>
      </c>
    </row>
    <row r="63" spans="1:22" ht="15.75" customHeight="1">
      <c r="A63" s="8">
        <f>$B$48</f>
        <v>1.9350000000000001</v>
      </c>
      <c r="B63" s="8">
        <f>$A$48</f>
        <v>0.73499999999999999</v>
      </c>
      <c r="C63">
        <v>12000</v>
      </c>
      <c r="D63" t="s">
        <v>0</v>
      </c>
      <c r="V63" s="3"/>
    </row>
    <row r="64" spans="1:22" ht="15.75" customHeight="1" thickBot="1">
      <c r="A64" s="5">
        <f>(A63-A62)*C64</f>
        <v>-1530.7999999999993</v>
      </c>
      <c r="B64" s="8">
        <f>C63*(B62-B63)</f>
        <v>-599.9999999999992</v>
      </c>
      <c r="C64">
        <v>4000</v>
      </c>
      <c r="D64" t="s">
        <v>10</v>
      </c>
      <c r="E64" s="8">
        <f>A64</f>
        <v>-1530.7999999999993</v>
      </c>
      <c r="F64" s="8">
        <f>(B64+A64)</f>
        <v>-2130.7999999999984</v>
      </c>
      <c r="G64" t="str">
        <f>IF(F64&gt;0, "TRADE","H")</f>
        <v>H</v>
      </c>
      <c r="V64" s="3"/>
    </row>
    <row r="65" spans="1:22" ht="15.75" customHeight="1" thickTop="1">
      <c r="A65" t="s">
        <v>1</v>
      </c>
      <c r="B65" t="s">
        <v>2</v>
      </c>
      <c r="C65" s="6">
        <v>46148</v>
      </c>
      <c r="H65" s="2">
        <f>(I65-K65)/K65-$D$3</f>
        <v>0.12027558152395297</v>
      </c>
      <c r="I65" s="13">
        <v>0.315</v>
      </c>
      <c r="J65" s="14">
        <v>1725</v>
      </c>
      <c r="K65">
        <v>0.28999999999999998</v>
      </c>
    </row>
    <row r="66" spans="1:22" ht="15.75" customHeight="1" thickBot="1">
      <c r="A66" s="5">
        <v>1725</v>
      </c>
      <c r="B66" s="5">
        <v>31</v>
      </c>
      <c r="H66" s="2">
        <f>(I66-K66)/K66-$D$3</f>
        <v>0.14865201830556218</v>
      </c>
      <c r="I66" s="15">
        <v>0.53500000000000003</v>
      </c>
      <c r="J66" s="16">
        <v>31</v>
      </c>
      <c r="K66">
        <v>0.48</v>
      </c>
    </row>
    <row r="67" spans="1:22" ht="15.75" customHeight="1" thickTop="1">
      <c r="A67" s="7" t="s">
        <v>30</v>
      </c>
      <c r="B67" s="8" t="s">
        <v>30</v>
      </c>
      <c r="H67" s="2">
        <f>H65-H66</f>
        <v>-2.8376436781609213E-2</v>
      </c>
      <c r="M67" s="3"/>
    </row>
    <row r="68" spans="1:22" ht="15.75" customHeight="1">
      <c r="A68" s="17">
        <f>I65</f>
        <v>0.315</v>
      </c>
      <c r="B68" s="17">
        <f>I66</f>
        <v>0.53500000000000003</v>
      </c>
      <c r="C68">
        <v>24000</v>
      </c>
      <c r="D68" t="s">
        <v>0</v>
      </c>
      <c r="V68" s="3"/>
    </row>
    <row r="69" spans="1:22" ht="15.75" customHeight="1">
      <c r="A69" s="5"/>
      <c r="B69" s="8"/>
      <c r="C69">
        <v>18000</v>
      </c>
      <c r="D69" t="s">
        <v>10</v>
      </c>
      <c r="E69" s="8">
        <f>A69</f>
        <v>0</v>
      </c>
      <c r="F69" s="8">
        <f>(B69+A69)</f>
        <v>0</v>
      </c>
      <c r="G69" t="str">
        <f>IF(F69&gt;0, "TRADE","H")</f>
        <v>H</v>
      </c>
      <c r="V69" s="3"/>
    </row>
    <row r="70" spans="1:22" ht="15.75" customHeight="1">
      <c r="A70" t="s">
        <v>1</v>
      </c>
      <c r="B70" t="s">
        <v>2</v>
      </c>
      <c r="C70" s="6">
        <v>46148</v>
      </c>
    </row>
    <row r="71" spans="1:22" ht="15.75" customHeight="1">
      <c r="A71" s="5">
        <v>1725</v>
      </c>
      <c r="B71" s="5">
        <v>31</v>
      </c>
    </row>
    <row r="72" spans="1:22" ht="15.75" customHeight="1">
      <c r="A72" s="7">
        <v>0.6</v>
      </c>
      <c r="B72" s="8">
        <v>0.55000000000000004</v>
      </c>
      <c r="I72" s="3"/>
    </row>
    <row r="73" spans="1:22" ht="15.75" customHeight="1">
      <c r="A73" s="17">
        <f>$A$68</f>
        <v>0.315</v>
      </c>
      <c r="B73" s="17">
        <f>$B$68</f>
        <v>0.53500000000000003</v>
      </c>
      <c r="C73">
        <v>24000</v>
      </c>
      <c r="D73" t="s">
        <v>0</v>
      </c>
      <c r="V73" s="3"/>
    </row>
    <row r="74" spans="1:22" ht="15.75" customHeight="1" thickBot="1">
      <c r="A74" s="5">
        <f>(A73-A72)*C73</f>
        <v>-6839.9999999999991</v>
      </c>
      <c r="B74" s="8">
        <f>C74*(B72-B73)</f>
        <v>270.00000000000023</v>
      </c>
      <c r="C74">
        <v>18000</v>
      </c>
      <c r="D74" t="s">
        <v>10</v>
      </c>
      <c r="E74" s="8">
        <f>A74</f>
        <v>-6839.9999999999991</v>
      </c>
      <c r="F74" s="8">
        <f>(B74+A74)</f>
        <v>-6569.9999999999991</v>
      </c>
      <c r="G74" t="str">
        <f>IF(F74&gt;0, "TRADE","H")</f>
        <v>H</v>
      </c>
      <c r="V74" s="3"/>
    </row>
    <row r="75" spans="1:22" ht="15.75" customHeight="1" thickTop="1">
      <c r="A75" t="s">
        <v>1</v>
      </c>
      <c r="B75" t="s">
        <v>2</v>
      </c>
      <c r="C75" s="6">
        <v>46035</v>
      </c>
      <c r="H75" s="2">
        <f>(I75-K75)/K75-$D$3</f>
        <v>-4.2530641627097868E-2</v>
      </c>
      <c r="I75" s="13">
        <v>21.94</v>
      </c>
      <c r="J75" s="14">
        <v>763</v>
      </c>
      <c r="K75">
        <v>23.76</v>
      </c>
    </row>
    <row r="76" spans="1:22" ht="15.75" customHeight="1" thickBot="1">
      <c r="A76" s="5">
        <v>763</v>
      </c>
      <c r="B76" s="5">
        <v>2382</v>
      </c>
      <c r="H76" s="2">
        <f>(I76-K76)/K76-$D$3</f>
        <v>-7.211978197573185E-2</v>
      </c>
      <c r="I76" s="15">
        <v>63.55</v>
      </c>
      <c r="J76" s="16">
        <v>2382</v>
      </c>
      <c r="K76">
        <v>71.099999999999994</v>
      </c>
      <c r="M76" s="3"/>
    </row>
    <row r="77" spans="1:22" ht="15.75" customHeight="1" thickTop="1">
      <c r="A77" s="23" t="s">
        <v>27</v>
      </c>
      <c r="B77" s="25" t="s">
        <v>26</v>
      </c>
      <c r="H77" s="2">
        <f>H75-H76</f>
        <v>2.9589140348633983E-2</v>
      </c>
    </row>
    <row r="78" spans="1:22" ht="15.75" customHeight="1">
      <c r="A78" s="17">
        <f>I75</f>
        <v>21.94</v>
      </c>
      <c r="B78" s="17">
        <f>I76</f>
        <v>63.55</v>
      </c>
      <c r="C78">
        <v>600</v>
      </c>
      <c r="D78" t="s">
        <v>0</v>
      </c>
      <c r="V78" s="3"/>
    </row>
    <row r="79" spans="1:22" ht="15.75" customHeight="1">
      <c r="A79" s="5"/>
      <c r="B79" s="8"/>
      <c r="C79">
        <v>200</v>
      </c>
      <c r="D79" t="s">
        <v>10</v>
      </c>
      <c r="E79" s="8">
        <f>A79</f>
        <v>0</v>
      </c>
      <c r="F79" s="8">
        <f>(B79+A79)</f>
        <v>0</v>
      </c>
      <c r="G79" t="str">
        <f>IF(F79&gt;0, "TRADE","H")</f>
        <v>H</v>
      </c>
      <c r="V79" s="3"/>
    </row>
    <row r="80" spans="1:22" ht="15.75" customHeight="1">
      <c r="A80" t="s">
        <v>1</v>
      </c>
      <c r="B80" t="s">
        <v>2</v>
      </c>
      <c r="C80" s="6">
        <v>46198</v>
      </c>
    </row>
    <row r="81" spans="1:22" ht="15.75" customHeight="1">
      <c r="A81" s="5">
        <v>2382</v>
      </c>
      <c r="B81" s="5">
        <v>763</v>
      </c>
      <c r="M81" s="3"/>
    </row>
    <row r="82" spans="1:22" ht="15.75" customHeight="1">
      <c r="A82" s="7">
        <v>77.099999999999994</v>
      </c>
      <c r="B82" s="8">
        <v>24.56</v>
      </c>
    </row>
    <row r="83" spans="1:22" ht="15.75" customHeight="1">
      <c r="A83" s="8">
        <f>$B$78</f>
        <v>63.55</v>
      </c>
      <c r="B83" s="8">
        <f>$A$78</f>
        <v>21.94</v>
      </c>
      <c r="C83" s="28">
        <v>300</v>
      </c>
      <c r="D83" t="s">
        <v>0</v>
      </c>
      <c r="V83" s="3"/>
    </row>
    <row r="84" spans="1:22" ht="15.75" customHeight="1">
      <c r="A84" s="5">
        <f>(A83-A82)*C83</f>
        <v>-4064.9999999999991</v>
      </c>
      <c r="B84" s="8">
        <f>C84*(B82-B83)</f>
        <v>2619.9999999999973</v>
      </c>
      <c r="C84" s="28">
        <v>1000</v>
      </c>
      <c r="D84" t="s">
        <v>10</v>
      </c>
      <c r="E84" s="8">
        <f>A84</f>
        <v>-4064.9999999999991</v>
      </c>
      <c r="F84" s="8">
        <f>(B84+A84)</f>
        <v>-1445.0000000000018</v>
      </c>
      <c r="G84" t="str">
        <f>IF(F84&gt;0, "TRADE","H")</f>
        <v>H</v>
      </c>
      <c r="V84" s="3"/>
    </row>
    <row r="85" spans="1:22" ht="15.75" customHeight="1">
      <c r="A85" t="s">
        <v>1</v>
      </c>
      <c r="B85" t="s">
        <v>2</v>
      </c>
      <c r="C85" s="6">
        <v>46198</v>
      </c>
    </row>
    <row r="86" spans="1:22" ht="15.75" customHeight="1">
      <c r="A86" s="5">
        <v>2382</v>
      </c>
      <c r="B86" s="5">
        <v>763</v>
      </c>
      <c r="I86" s="29"/>
      <c r="M86" s="3"/>
    </row>
    <row r="87" spans="1:22" ht="15.75" customHeight="1">
      <c r="A87" s="7">
        <v>76</v>
      </c>
      <c r="B87" s="8">
        <v>24.66</v>
      </c>
    </row>
    <row r="88" spans="1:22" ht="15.75" customHeight="1">
      <c r="A88" s="8">
        <f>$B$78</f>
        <v>63.55</v>
      </c>
      <c r="B88" s="8">
        <f>$A$78</f>
        <v>21.94</v>
      </c>
      <c r="C88">
        <v>200</v>
      </c>
      <c r="D88" t="s">
        <v>0</v>
      </c>
      <c r="V88" s="3"/>
    </row>
    <row r="89" spans="1:22" ht="15.75" customHeight="1">
      <c r="A89" s="5">
        <f>(A88-A87)*C88</f>
        <v>-2490.0000000000005</v>
      </c>
      <c r="B89" s="8">
        <f>C89*(B87-B88)</f>
        <v>1631.9999999999993</v>
      </c>
      <c r="C89">
        <v>600</v>
      </c>
      <c r="D89" t="s">
        <v>10</v>
      </c>
      <c r="E89" s="8">
        <f>A89</f>
        <v>-2490.0000000000005</v>
      </c>
      <c r="F89" s="8">
        <f>(B89+A89)</f>
        <v>-858.00000000000114</v>
      </c>
      <c r="G89" t="str">
        <f>IF(F89&gt;0, "TRADE","H")</f>
        <v>H</v>
      </c>
      <c r="V89" s="3"/>
    </row>
    <row r="90" spans="1:22" ht="15.75" customHeight="1">
      <c r="A90" t="s">
        <v>1</v>
      </c>
      <c r="B90" t="s">
        <v>2</v>
      </c>
      <c r="C90" s="6">
        <v>46283</v>
      </c>
    </row>
    <row r="91" spans="1:22" ht="15.75" customHeight="1">
      <c r="A91" s="5">
        <v>2382</v>
      </c>
      <c r="B91" s="5">
        <v>763</v>
      </c>
      <c r="I91" s="29"/>
      <c r="M91" s="3"/>
    </row>
    <row r="92" spans="1:22" ht="15.75" customHeight="1">
      <c r="A92" s="7">
        <v>67.650000000000006</v>
      </c>
      <c r="B92" s="8">
        <v>22.78</v>
      </c>
    </row>
    <row r="93" spans="1:22" ht="15.75" customHeight="1">
      <c r="A93" s="8">
        <f>$B$78</f>
        <v>63.55</v>
      </c>
      <c r="B93" s="8">
        <f>$A$78</f>
        <v>21.94</v>
      </c>
      <c r="C93">
        <v>200</v>
      </c>
      <c r="D93" t="s">
        <v>0</v>
      </c>
      <c r="V93" s="3"/>
    </row>
    <row r="94" spans="1:22" ht="15.75" customHeight="1">
      <c r="A94" s="5">
        <f>(A93-A92)*C93</f>
        <v>-820.00000000000171</v>
      </c>
      <c r="B94" s="8">
        <f>C94*(B92-B93)</f>
        <v>503.99999999999989</v>
      </c>
      <c r="C94">
        <v>600</v>
      </c>
      <c r="D94" t="s">
        <v>10</v>
      </c>
      <c r="E94" s="8">
        <f>A94</f>
        <v>-820.00000000000171</v>
      </c>
      <c r="F94" s="8">
        <f>(B94+A94)</f>
        <v>-316.00000000000182</v>
      </c>
      <c r="G94" t="str">
        <f>IF(F94&gt;0, "TRADE","H")</f>
        <v>H</v>
      </c>
      <c r="V94" s="3"/>
    </row>
    <row r="95" spans="1:22" ht="15.75" customHeight="1">
      <c r="A95" t="s">
        <v>1</v>
      </c>
      <c r="B95" t="s">
        <v>2</v>
      </c>
      <c r="C95" s="6">
        <v>46283</v>
      </c>
    </row>
    <row r="96" spans="1:22" ht="15.75" customHeight="1">
      <c r="A96" s="5">
        <v>2382</v>
      </c>
      <c r="B96" s="5">
        <v>763</v>
      </c>
      <c r="I96" s="29"/>
      <c r="M96" s="3"/>
    </row>
    <row r="97" spans="1:22" ht="15.75" customHeight="1">
      <c r="A97" s="7">
        <v>67.099999999999994</v>
      </c>
      <c r="B97" s="8">
        <v>22.92</v>
      </c>
    </row>
    <row r="98" spans="1:22" ht="15.75" customHeight="1">
      <c r="A98" s="8">
        <f>$B$78</f>
        <v>63.55</v>
      </c>
      <c r="B98" s="8">
        <f>$A$78</f>
        <v>21.94</v>
      </c>
      <c r="C98">
        <v>200</v>
      </c>
      <c r="D98" t="s">
        <v>0</v>
      </c>
      <c r="V98" s="3"/>
    </row>
    <row r="99" spans="1:22" ht="15.75" customHeight="1">
      <c r="A99" s="5">
        <f>(A98-A97)*C98</f>
        <v>-709.99999999999943</v>
      </c>
      <c r="B99" s="8">
        <f>C99*(B97-B98)</f>
        <v>588.00000000000023</v>
      </c>
      <c r="C99">
        <v>600</v>
      </c>
      <c r="D99" t="s">
        <v>10</v>
      </c>
      <c r="E99" s="8">
        <f>A99</f>
        <v>-709.99999999999943</v>
      </c>
      <c r="F99" s="8">
        <f>(B99+A99)</f>
        <v>-121.9999999999992</v>
      </c>
      <c r="G99" t="str">
        <f>IF(F99&gt;0, "TRADE","H")</f>
        <v>H</v>
      </c>
      <c r="V99" s="3"/>
    </row>
    <row r="100" spans="1:22" ht="15.75" customHeight="1">
      <c r="A100" t="s">
        <v>1</v>
      </c>
      <c r="B100" t="s">
        <v>2</v>
      </c>
      <c r="C100" s="6">
        <v>46289</v>
      </c>
    </row>
    <row r="101" spans="1:22" ht="15.75" customHeight="1">
      <c r="A101" s="5">
        <v>2382</v>
      </c>
      <c r="B101" s="5">
        <v>763</v>
      </c>
      <c r="I101" s="29"/>
      <c r="M101" s="3"/>
    </row>
    <row r="102" spans="1:22" ht="15.75" customHeight="1">
      <c r="A102" s="7">
        <v>64.95</v>
      </c>
      <c r="B102" s="8">
        <v>22.58</v>
      </c>
    </row>
    <row r="103" spans="1:22" ht="15.75" customHeight="1">
      <c r="A103" s="8">
        <f>$B$78</f>
        <v>63.55</v>
      </c>
      <c r="B103" s="8">
        <f>$A$78</f>
        <v>21.94</v>
      </c>
      <c r="C103">
        <v>200</v>
      </c>
      <c r="D103" t="s">
        <v>0</v>
      </c>
      <c r="V103" s="3"/>
    </row>
    <row r="104" spans="1:22" ht="15.75" customHeight="1">
      <c r="A104" s="5">
        <f>(A103-A102)*C103</f>
        <v>-280.00000000000114</v>
      </c>
      <c r="B104" s="8">
        <f>C104*(B102-B103)</f>
        <v>383.99999999999818</v>
      </c>
      <c r="C104">
        <v>600</v>
      </c>
      <c r="D104" t="s">
        <v>10</v>
      </c>
      <c r="E104" s="8">
        <f>A104</f>
        <v>-280.00000000000114</v>
      </c>
      <c r="F104" s="8">
        <f>(B104+A104)</f>
        <v>103.99999999999704</v>
      </c>
      <c r="G104" t="str">
        <f>IF(F104&gt;0, "TRADE","H")</f>
        <v>TRADE</v>
      </c>
      <c r="V104" s="3"/>
    </row>
    <row r="105" spans="1:22" ht="15.75" customHeight="1">
      <c r="A105" t="s">
        <v>1</v>
      </c>
      <c r="B105" t="s">
        <v>2</v>
      </c>
      <c r="C105" s="6">
        <v>46262</v>
      </c>
    </row>
    <row r="106" spans="1:22" ht="15.75" customHeight="1">
      <c r="A106" s="5">
        <v>763</v>
      </c>
      <c r="B106" s="5">
        <v>2382</v>
      </c>
      <c r="M106" s="3"/>
    </row>
    <row r="107" spans="1:22" ht="15.75" customHeight="1">
      <c r="A107" s="7">
        <v>23.76</v>
      </c>
      <c r="B107" s="8">
        <v>65.95</v>
      </c>
    </row>
    <row r="108" spans="1:22" ht="15.75" customHeight="1">
      <c r="A108" s="8">
        <f>$A$78</f>
        <v>21.94</v>
      </c>
      <c r="B108" s="8">
        <f>$B$78</f>
        <v>63.55</v>
      </c>
      <c r="C108">
        <v>600</v>
      </c>
      <c r="D108" t="s">
        <v>0</v>
      </c>
      <c r="V108" s="3"/>
    </row>
    <row r="109" spans="1:22" ht="15.75" customHeight="1">
      <c r="A109" s="5">
        <f>(A108-A107)*C108</f>
        <v>-1092.0000000000002</v>
      </c>
      <c r="B109" s="8">
        <f>C109*(B107-B108)</f>
        <v>480.00000000000114</v>
      </c>
      <c r="C109">
        <v>200</v>
      </c>
      <c r="D109" t="s">
        <v>10</v>
      </c>
      <c r="E109" s="8">
        <f>A109</f>
        <v>-1092.0000000000002</v>
      </c>
      <c r="F109" s="8">
        <f>(B109+A109)</f>
        <v>-611.99999999999909</v>
      </c>
      <c r="G109" t="str">
        <f>IF(F109&gt;0, "TRADE","H")</f>
        <v>H</v>
      </c>
      <c r="V109" s="3"/>
    </row>
    <row r="110" spans="1:22" ht="15.75" customHeight="1">
      <c r="A110" t="s">
        <v>1</v>
      </c>
      <c r="B110" t="s">
        <v>2</v>
      </c>
      <c r="C110" s="6">
        <v>46259</v>
      </c>
    </row>
    <row r="111" spans="1:22" ht="15.75" customHeight="1">
      <c r="A111" s="5">
        <v>763</v>
      </c>
      <c r="B111" s="5">
        <v>2382</v>
      </c>
      <c r="M111" s="3"/>
    </row>
    <row r="112" spans="1:22" ht="15.75" customHeight="1">
      <c r="A112" s="7">
        <v>23.32</v>
      </c>
      <c r="B112" s="8">
        <v>60.65</v>
      </c>
    </row>
    <row r="113" spans="1:22" ht="15.75" customHeight="1">
      <c r="A113" s="8">
        <f>$A$78</f>
        <v>21.94</v>
      </c>
      <c r="B113" s="8">
        <f>$B$78</f>
        <v>63.55</v>
      </c>
      <c r="C113">
        <v>600</v>
      </c>
      <c r="D113" t="s">
        <v>0</v>
      </c>
      <c r="V113" s="3"/>
    </row>
    <row r="114" spans="1:22" ht="15.75" customHeight="1">
      <c r="A114" s="5">
        <f>(A113-A112)*C113</f>
        <v>-827.99999999999943</v>
      </c>
      <c r="B114" s="8">
        <f>C114*(B112-B113)</f>
        <v>-579.99999999999977</v>
      </c>
      <c r="C114">
        <v>200</v>
      </c>
      <c r="D114" t="s">
        <v>10</v>
      </c>
      <c r="E114" s="8">
        <f>A114</f>
        <v>-827.99999999999943</v>
      </c>
      <c r="F114" s="8">
        <f>(B114+A114)</f>
        <v>-1407.9999999999991</v>
      </c>
      <c r="G114" t="str">
        <f>IF(F114&gt;0, "TRADE","H")</f>
        <v>H</v>
      </c>
      <c r="V114" s="3"/>
    </row>
    <row r="115" spans="1:22" ht="15.75" customHeight="1">
      <c r="A115" t="s">
        <v>1</v>
      </c>
      <c r="B115" t="s">
        <v>2</v>
      </c>
      <c r="C115" s="6">
        <v>46255</v>
      </c>
    </row>
    <row r="116" spans="1:22" ht="15.75" customHeight="1">
      <c r="A116" s="5">
        <v>763</v>
      </c>
      <c r="B116" s="5">
        <v>2382</v>
      </c>
      <c r="M116" s="3"/>
    </row>
    <row r="117" spans="1:22" ht="15.75" customHeight="1">
      <c r="A117" s="7">
        <v>23.9</v>
      </c>
      <c r="B117" s="8">
        <v>59.75</v>
      </c>
    </row>
    <row r="118" spans="1:22" ht="15.75" customHeight="1">
      <c r="A118" s="8">
        <f>$A$78</f>
        <v>21.94</v>
      </c>
      <c r="B118" s="8">
        <f>$B$78</f>
        <v>63.55</v>
      </c>
      <c r="C118">
        <v>600</v>
      </c>
      <c r="D118" t="s">
        <v>0</v>
      </c>
      <c r="V118" s="3"/>
    </row>
    <row r="119" spans="1:22" ht="15.75" customHeight="1">
      <c r="A119" s="5">
        <f>(A118-A117)*C118</f>
        <v>-1175.9999999999984</v>
      </c>
      <c r="B119" s="8">
        <f>C119*(B117-B118)</f>
        <v>-759.99999999999943</v>
      </c>
      <c r="C119">
        <v>200</v>
      </c>
      <c r="D119" t="s">
        <v>10</v>
      </c>
      <c r="E119" s="8">
        <f>A119</f>
        <v>-1175.9999999999984</v>
      </c>
      <c r="F119" s="8">
        <f>(B119+A119)</f>
        <v>-1935.9999999999977</v>
      </c>
      <c r="G119" t="str">
        <f>IF(F119&gt;0, "TRADE","H")</f>
        <v>H</v>
      </c>
      <c r="V119" s="3"/>
    </row>
    <row r="120" spans="1:22" ht="15.75" customHeight="1">
      <c r="A120" t="s">
        <v>1</v>
      </c>
      <c r="B120" t="s">
        <v>2</v>
      </c>
      <c r="C120" s="6">
        <v>46252</v>
      </c>
    </row>
    <row r="121" spans="1:22" ht="15.75" customHeight="1">
      <c r="A121" s="5">
        <v>763</v>
      </c>
      <c r="B121" s="5">
        <v>2382</v>
      </c>
      <c r="M121" s="3"/>
    </row>
    <row r="122" spans="1:22" ht="15.75" customHeight="1">
      <c r="A122" s="7">
        <v>25.52</v>
      </c>
      <c r="B122" s="8">
        <v>62.3</v>
      </c>
    </row>
    <row r="123" spans="1:22" ht="15.75" customHeight="1">
      <c r="A123" s="8">
        <f>$A$78</f>
        <v>21.94</v>
      </c>
      <c r="B123" s="8">
        <f>$B$78</f>
        <v>63.55</v>
      </c>
      <c r="C123">
        <v>600</v>
      </c>
      <c r="D123" t="s">
        <v>0</v>
      </c>
      <c r="V123" s="3"/>
    </row>
    <row r="124" spans="1:22" ht="15.75" customHeight="1">
      <c r="A124" s="5">
        <f>(A123-A122)*C123</f>
        <v>-2147.9999999999991</v>
      </c>
      <c r="B124" s="8">
        <f>C124*(B122-B123)</f>
        <v>-250</v>
      </c>
      <c r="C124">
        <v>200</v>
      </c>
      <c r="D124" t="s">
        <v>10</v>
      </c>
      <c r="E124" s="8">
        <f>A124</f>
        <v>-2147.9999999999991</v>
      </c>
      <c r="F124" s="8">
        <f>(B124+A124)</f>
        <v>-2397.9999999999991</v>
      </c>
      <c r="G124" t="str">
        <f>IF(F124&gt;0, "TRADE","H")</f>
        <v>H</v>
      </c>
      <c r="V124" s="3"/>
    </row>
    <row r="125" spans="1:22" ht="15.75" customHeight="1">
      <c r="A125" t="s">
        <v>1</v>
      </c>
      <c r="B125" t="s">
        <v>2</v>
      </c>
      <c r="C125" s="6">
        <v>46252</v>
      </c>
    </row>
    <row r="126" spans="1:22" ht="15.75" customHeight="1">
      <c r="A126" s="5">
        <v>763</v>
      </c>
      <c r="B126" s="5">
        <v>2382</v>
      </c>
      <c r="M126" s="3"/>
    </row>
    <row r="127" spans="1:22" ht="15.75" customHeight="1">
      <c r="A127" s="7">
        <v>25.46</v>
      </c>
      <c r="B127" s="8">
        <v>60.65</v>
      </c>
    </row>
    <row r="128" spans="1:22" ht="15.75" customHeight="1">
      <c r="A128" s="8">
        <f>$A$78</f>
        <v>21.94</v>
      </c>
      <c r="B128" s="8">
        <f>$B$78</f>
        <v>63.55</v>
      </c>
      <c r="C128">
        <v>600</v>
      </c>
      <c r="D128" t="s">
        <v>0</v>
      </c>
      <c r="V128" s="3"/>
    </row>
    <row r="129" spans="1:22" ht="15.75" customHeight="1">
      <c r="A129" s="5">
        <f>(A128-A127)*C128</f>
        <v>-2111.9999999999995</v>
      </c>
      <c r="B129" s="8">
        <f>C129*(B127-B128)</f>
        <v>-579.99999999999977</v>
      </c>
      <c r="C129">
        <v>200</v>
      </c>
      <c r="D129" t="s">
        <v>10</v>
      </c>
      <c r="E129" s="8">
        <f>A129</f>
        <v>-2111.9999999999995</v>
      </c>
      <c r="F129" s="8">
        <f>(B129+A129)</f>
        <v>-2691.9999999999991</v>
      </c>
      <c r="G129" t="str">
        <f>IF(F129&gt;0, "TRADE","H")</f>
        <v>H</v>
      </c>
      <c r="V129" s="3"/>
    </row>
    <row r="130" spans="1:22" ht="15.75" customHeight="1">
      <c r="A130" t="s">
        <v>1</v>
      </c>
      <c r="B130" t="s">
        <v>2</v>
      </c>
      <c r="C130" s="6">
        <v>46239</v>
      </c>
    </row>
    <row r="131" spans="1:22" ht="15.75" customHeight="1">
      <c r="A131" s="5">
        <v>763</v>
      </c>
      <c r="B131" s="5">
        <v>2382</v>
      </c>
      <c r="M131" s="3"/>
    </row>
    <row r="132" spans="1:22" ht="15.75" customHeight="1">
      <c r="A132" s="7">
        <v>25.54</v>
      </c>
      <c r="B132" s="8">
        <v>58.8</v>
      </c>
    </row>
    <row r="133" spans="1:22" ht="15.75" customHeight="1">
      <c r="A133" s="8">
        <f>$A$78</f>
        <v>21.94</v>
      </c>
      <c r="B133" s="8">
        <f>$B$78</f>
        <v>63.55</v>
      </c>
      <c r="C133">
        <v>600</v>
      </c>
      <c r="D133" t="s">
        <v>0</v>
      </c>
      <c r="V133" s="3"/>
    </row>
    <row r="134" spans="1:22" ht="15.75" customHeight="1">
      <c r="A134" s="5">
        <f>(A133-A132)*C133</f>
        <v>-2159.9999999999986</v>
      </c>
      <c r="B134" s="8">
        <f>C134*(B132-B133)</f>
        <v>-950</v>
      </c>
      <c r="C134">
        <v>200</v>
      </c>
      <c r="D134" t="s">
        <v>10</v>
      </c>
      <c r="E134" s="8">
        <f>A134</f>
        <v>-2159.9999999999986</v>
      </c>
      <c r="F134" s="8">
        <f>(B134+A134)</f>
        <v>-3109.9999999999986</v>
      </c>
      <c r="G134" t="str">
        <f>IF(F134&gt;0, "TRADE","H")</f>
        <v>H</v>
      </c>
      <c r="V134" s="3"/>
    </row>
    <row r="135" spans="1:22" ht="15.75" customHeight="1">
      <c r="A135" t="s">
        <v>1</v>
      </c>
      <c r="B135" t="s">
        <v>2</v>
      </c>
      <c r="C135" s="6">
        <v>46220</v>
      </c>
    </row>
    <row r="136" spans="1:22" ht="15.75" customHeight="1">
      <c r="A136" s="5">
        <v>763</v>
      </c>
      <c r="B136" s="5">
        <v>2382</v>
      </c>
      <c r="M136" s="3"/>
    </row>
    <row r="137" spans="1:22" ht="15.75" customHeight="1">
      <c r="A137" s="7">
        <v>25.52</v>
      </c>
      <c r="B137" s="8">
        <v>56.5</v>
      </c>
    </row>
    <row r="138" spans="1:22" ht="15.75" customHeight="1">
      <c r="A138" s="8">
        <f>$A$78</f>
        <v>21.94</v>
      </c>
      <c r="B138" s="8">
        <f>$B$78</f>
        <v>63.55</v>
      </c>
      <c r="C138">
        <v>600</v>
      </c>
      <c r="D138" t="s">
        <v>0</v>
      </c>
      <c r="V138" s="3"/>
    </row>
    <row r="139" spans="1:22" ht="15.75" customHeight="1">
      <c r="A139" s="5">
        <f>(A138-A137)*C138</f>
        <v>-2147.9999999999991</v>
      </c>
      <c r="B139" s="8">
        <f>C139*(B137-B138)</f>
        <v>-1409.9999999999995</v>
      </c>
      <c r="C139">
        <v>200</v>
      </c>
      <c r="D139" t="s">
        <v>10</v>
      </c>
      <c r="E139" s="8">
        <f>A139</f>
        <v>-2147.9999999999991</v>
      </c>
      <c r="F139" s="8">
        <f>(B139+A139)</f>
        <v>-3557.9999999999986</v>
      </c>
      <c r="G139" t="str">
        <f>IF(F139&gt;0, "TRADE","H")</f>
        <v>H</v>
      </c>
      <c r="V139" s="3"/>
    </row>
    <row r="140" spans="1:22" ht="15.75" customHeight="1">
      <c r="A140" t="s">
        <v>1</v>
      </c>
      <c r="B140" t="s">
        <v>2</v>
      </c>
      <c r="C140" s="6">
        <v>46213</v>
      </c>
    </row>
    <row r="141" spans="1:22" ht="15.75" customHeight="1">
      <c r="A141" s="5">
        <v>763</v>
      </c>
      <c r="B141" s="5">
        <v>2382</v>
      </c>
      <c r="M141" s="3"/>
    </row>
    <row r="142" spans="1:22" ht="15.75" customHeight="1">
      <c r="A142" s="7">
        <v>25.84</v>
      </c>
      <c r="B142" s="8">
        <v>56.75</v>
      </c>
    </row>
    <row r="143" spans="1:22" ht="15.75" customHeight="1">
      <c r="A143" s="8">
        <f>$A$78</f>
        <v>21.94</v>
      </c>
      <c r="B143" s="8">
        <f>$B$78</f>
        <v>63.55</v>
      </c>
      <c r="C143">
        <v>600</v>
      </c>
      <c r="D143" t="s">
        <v>0</v>
      </c>
      <c r="V143" s="3"/>
    </row>
    <row r="144" spans="1:22" ht="15.75" customHeight="1">
      <c r="A144" s="5">
        <f>(A143-A142)*C143</f>
        <v>-2339.9999999999991</v>
      </c>
      <c r="B144" s="8">
        <f>C144*(B142-B143)</f>
        <v>-1359.9999999999995</v>
      </c>
      <c r="C144">
        <v>200</v>
      </c>
      <c r="D144" t="s">
        <v>10</v>
      </c>
      <c r="E144" s="8">
        <f>A144</f>
        <v>-2339.9999999999991</v>
      </c>
      <c r="F144" s="8">
        <f>(B144+A144)</f>
        <v>-3699.9999999999986</v>
      </c>
      <c r="G144" t="str">
        <f>IF(F144&gt;0, "TRADE","H")</f>
        <v>H</v>
      </c>
      <c r="V144" s="3"/>
    </row>
    <row r="145" spans="1:25" ht="15.75" customHeight="1">
      <c r="A145" t="s">
        <v>1</v>
      </c>
      <c r="B145" t="s">
        <v>2</v>
      </c>
      <c r="C145" s="6">
        <v>46035</v>
      </c>
    </row>
    <row r="146" spans="1:25" ht="15.75" customHeight="1">
      <c r="A146" s="5">
        <v>763</v>
      </c>
      <c r="B146" s="5">
        <v>2382</v>
      </c>
      <c r="M146" s="3"/>
    </row>
    <row r="147" spans="1:25" ht="15.75" customHeight="1">
      <c r="A147" s="7">
        <f>-0.47+30.42</f>
        <v>29.950000000000003</v>
      </c>
      <c r="B147" s="8">
        <f>-1.206+66.06</f>
        <v>64.853999999999999</v>
      </c>
    </row>
    <row r="148" spans="1:25" ht="15.75" customHeight="1">
      <c r="A148" s="8">
        <f>$A$78</f>
        <v>21.94</v>
      </c>
      <c r="B148" s="8">
        <f>$B$78</f>
        <v>63.55</v>
      </c>
      <c r="C148">
        <v>600</v>
      </c>
      <c r="D148" t="s">
        <v>0</v>
      </c>
      <c r="V148" s="3"/>
    </row>
    <row r="149" spans="1:25" ht="15.75" customHeight="1" thickBot="1">
      <c r="A149" s="5">
        <f>(A148-A147)*C148</f>
        <v>-4806.0000000000009</v>
      </c>
      <c r="B149" s="8">
        <f>C149*(B147-B148)</f>
        <v>260.80000000000041</v>
      </c>
      <c r="C149">
        <v>200</v>
      </c>
      <c r="D149" t="s">
        <v>10</v>
      </c>
      <c r="E149" s="8">
        <f>A149</f>
        <v>-4806.0000000000009</v>
      </c>
      <c r="F149" s="8">
        <f>(B149+A149)</f>
        <v>-4545.2000000000007</v>
      </c>
      <c r="G149" t="str">
        <f>IF(F149&gt;0, "TRADE","H")</f>
        <v>H</v>
      </c>
      <c r="V149" s="3"/>
    </row>
    <row r="150" spans="1:25" ht="15.75" customHeight="1" thickTop="1">
      <c r="A150" s="5" t="s">
        <v>1</v>
      </c>
      <c r="B150" s="5"/>
      <c r="C150" s="6">
        <v>46184</v>
      </c>
      <c r="F150" s="2"/>
      <c r="H150" s="2">
        <f>(I150-K150)/K150-$D$3</f>
        <v>-2.2828650882428081E-2</v>
      </c>
      <c r="I150" s="13">
        <v>394</v>
      </c>
      <c r="J150" s="14">
        <v>388</v>
      </c>
      <c r="K150">
        <v>417.77</v>
      </c>
      <c r="Q150" s="3"/>
    </row>
    <row r="151" spans="1:25" ht="15.75" customHeight="1" thickBot="1">
      <c r="A151" s="5">
        <v>388</v>
      </c>
      <c r="B151" s="5">
        <v>6030</v>
      </c>
      <c r="F151" s="2"/>
      <c r="H151" s="2">
        <f>(I151-K151)/K151-$D$3</f>
        <v>-3.2451782864028583E-2</v>
      </c>
      <c r="I151" s="15">
        <v>25.54</v>
      </c>
      <c r="J151" s="16">
        <v>6030</v>
      </c>
      <c r="K151">
        <v>27.36</v>
      </c>
      <c r="O151" s="3"/>
    </row>
    <row r="152" spans="1:25" ht="15.75" customHeight="1" thickTop="1">
      <c r="A152" s="7" t="s">
        <v>27</v>
      </c>
      <c r="B152" s="5" t="s">
        <v>31</v>
      </c>
      <c r="F152" s="2"/>
      <c r="H152" s="2">
        <f>H150-H151</f>
        <v>9.6231319816005023E-3</v>
      </c>
      <c r="U152" s="3"/>
    </row>
    <row r="153" spans="1:25" ht="15.75" customHeight="1">
      <c r="A153" s="17">
        <f>hkex</f>
        <v>394</v>
      </c>
      <c r="B153" s="17">
        <f>I151</f>
        <v>25.54</v>
      </c>
      <c r="C153">
        <v>2000</v>
      </c>
      <c r="F153" s="2"/>
      <c r="H153" s="2"/>
      <c r="Y153" s="3"/>
    </row>
    <row r="154" spans="1:25" ht="15.75" customHeight="1">
      <c r="A154" s="5"/>
      <c r="B154" s="5"/>
      <c r="C154">
        <v>100</v>
      </c>
      <c r="E154" s="8">
        <f>A154</f>
        <v>0</v>
      </c>
      <c r="F154" s="5">
        <f>(B154+A154)</f>
        <v>0</v>
      </c>
      <c r="G154" t="str">
        <f>IF(F154&gt;0, "TRADE","H")</f>
        <v>H</v>
      </c>
      <c r="H154" s="2"/>
      <c r="Y154" s="3"/>
    </row>
    <row r="155" spans="1:25" ht="15.75" customHeight="1">
      <c r="A155" s="5" t="s">
        <v>1</v>
      </c>
      <c r="B155" s="5"/>
      <c r="C155" s="6">
        <v>46273</v>
      </c>
      <c r="F155" s="2"/>
      <c r="Q155" s="3"/>
    </row>
    <row r="156" spans="1:25" ht="15.75" customHeight="1">
      <c r="A156" s="5">
        <v>6030</v>
      </c>
      <c r="B156" s="5">
        <v>388</v>
      </c>
      <c r="F156" s="2"/>
      <c r="O156" s="3"/>
    </row>
    <row r="157" spans="1:25" ht="15.75" customHeight="1">
      <c r="A157" s="7">
        <v>25.76</v>
      </c>
      <c r="B157" s="5">
        <v>402.2</v>
      </c>
      <c r="F157" s="2"/>
      <c r="U157" s="3"/>
    </row>
    <row r="158" spans="1:25">
      <c r="A158" s="8">
        <f>$B$153</f>
        <v>25.54</v>
      </c>
      <c r="B158" s="8">
        <f>$A$153</f>
        <v>394</v>
      </c>
      <c r="C158">
        <v>100</v>
      </c>
      <c r="F158" s="2"/>
      <c r="H158" s="2"/>
      <c r="Y158" s="3"/>
    </row>
    <row r="159" spans="1:25" ht="15.75" customHeight="1">
      <c r="A159" s="5">
        <f>(A158-A157)*C159</f>
        <v>-440.00000000000483</v>
      </c>
      <c r="B159" s="5">
        <f>(B157-B158)*C158</f>
        <v>819.99999999999886</v>
      </c>
      <c r="C159">
        <v>2000</v>
      </c>
      <c r="E159" s="8">
        <f>A159</f>
        <v>-440.00000000000483</v>
      </c>
      <c r="F159" s="5">
        <f>(B159+A159)</f>
        <v>379.99999999999403</v>
      </c>
      <c r="G159" t="str">
        <f>IF(F159&gt;0, "TRADE","H")</f>
        <v>TRADE</v>
      </c>
      <c r="H159" s="2"/>
      <c r="Y159" s="3"/>
    </row>
    <row r="160" spans="1:25" ht="15.75" customHeight="1">
      <c r="A160" s="5" t="s">
        <v>1</v>
      </c>
      <c r="B160" s="5"/>
      <c r="C160" s="6">
        <v>46211</v>
      </c>
      <c r="F160" s="2"/>
      <c r="Q160" s="3"/>
    </row>
    <row r="161" spans="1:26" ht="15.75" customHeight="1">
      <c r="A161" s="5">
        <v>6030</v>
      </c>
      <c r="B161" s="5">
        <v>388</v>
      </c>
      <c r="F161" s="2"/>
      <c r="O161" s="3"/>
    </row>
    <row r="162" spans="1:26" ht="15.75" customHeight="1">
      <c r="A162" s="7">
        <v>27.58</v>
      </c>
      <c r="B162" s="5">
        <f>-7.43+381.4</f>
        <v>373.96999999999997</v>
      </c>
      <c r="F162" s="2"/>
      <c r="U162" s="3"/>
    </row>
    <row r="163" spans="1:26">
      <c r="A163" s="8">
        <f>$B$153</f>
        <v>25.54</v>
      </c>
      <c r="B163" s="8">
        <f>$A$153</f>
        <v>394</v>
      </c>
      <c r="C163">
        <v>100</v>
      </c>
      <c r="F163" s="2"/>
      <c r="H163" s="2"/>
      <c r="Y163" s="3"/>
    </row>
    <row r="164" spans="1:26" ht="15.75" customHeight="1">
      <c r="A164" s="5">
        <f>(A163-A162)*C164</f>
        <v>-4079.9999999999982</v>
      </c>
      <c r="B164" s="5">
        <f>(B162-B163)*C163</f>
        <v>-2003.000000000003</v>
      </c>
      <c r="C164">
        <v>2000</v>
      </c>
      <c r="E164" s="8">
        <f>A164</f>
        <v>-4079.9999999999982</v>
      </c>
      <c r="F164" s="5">
        <f>(B164+A164)</f>
        <v>-6083.0000000000009</v>
      </c>
      <c r="G164" t="str">
        <f>IF(F164&gt;0, "TRADE","H")</f>
        <v>H</v>
      </c>
      <c r="H164" s="2"/>
      <c r="Y164" s="3"/>
    </row>
    <row r="165" spans="1:26" ht="15.75" customHeight="1" thickBot="1">
      <c r="A165" s="9" t="s">
        <v>11</v>
      </c>
      <c r="B165" s="9" t="s">
        <v>12</v>
      </c>
      <c r="C165" s="6">
        <v>46142</v>
      </c>
      <c r="H165" s="2">
        <f>(I165-K165)/K165-$D$3</f>
        <v>-8.2903792091991474E-2</v>
      </c>
      <c r="I165" s="15">
        <v>77</v>
      </c>
      <c r="J165" s="16">
        <v>1211</v>
      </c>
      <c r="K165">
        <v>87.2</v>
      </c>
      <c r="L165" s="3"/>
    </row>
    <row r="166" spans="1:26" ht="15.75" customHeight="1" thickTop="1" thickBot="1">
      <c r="A166" s="5">
        <v>1211</v>
      </c>
      <c r="B166" s="5" t="s">
        <v>19</v>
      </c>
      <c r="H166" s="2">
        <f>(I166-K166)/K166-$D$3</f>
        <v>-8.9631938728395005E-2</v>
      </c>
      <c r="I166" s="15">
        <v>84.3</v>
      </c>
      <c r="J166" s="16" t="s">
        <v>4</v>
      </c>
      <c r="K166">
        <v>96.2</v>
      </c>
      <c r="L166" s="3"/>
      <c r="N166" s="3"/>
    </row>
    <row r="167" spans="1:26" ht="15.75" customHeight="1" thickTop="1">
      <c r="A167" s="5" t="s">
        <v>27</v>
      </c>
      <c r="B167" s="5" t="s">
        <v>26</v>
      </c>
    </row>
    <row r="168" spans="1:26" ht="15.75" customHeight="1">
      <c r="A168" s="17">
        <f>byd</f>
        <v>77</v>
      </c>
      <c r="B168" s="17">
        <f>I166</f>
        <v>84.3</v>
      </c>
      <c r="C168">
        <v>300</v>
      </c>
      <c r="D168" t="s">
        <v>0</v>
      </c>
      <c r="E168" s="18"/>
      <c r="H168" s="2"/>
      <c r="Z168" s="3"/>
    </row>
    <row r="169" spans="1:26" ht="15.75" customHeight="1">
      <c r="A169" s="8"/>
      <c r="B169" s="8"/>
      <c r="C169">
        <v>300</v>
      </c>
      <c r="D169" t="s">
        <v>10</v>
      </c>
      <c r="E169" s="8">
        <f>A169</f>
        <v>0</v>
      </c>
      <c r="F169" s="8">
        <f>(B169+A169)</f>
        <v>0</v>
      </c>
      <c r="G169" t="str">
        <f>IF(F169&gt;0, "TRADE","H")</f>
        <v>H</v>
      </c>
      <c r="H169" s="2"/>
      <c r="Z169" s="3"/>
    </row>
    <row r="170" spans="1:26" ht="15.75" customHeight="1">
      <c r="A170" s="9" t="s">
        <v>11</v>
      </c>
      <c r="B170" s="9" t="s">
        <v>12</v>
      </c>
      <c r="C170" s="6">
        <v>46244</v>
      </c>
      <c r="H170" s="5"/>
      <c r="I170" s="5"/>
      <c r="J170" s="5"/>
      <c r="K170" s="5"/>
      <c r="L170" s="3"/>
    </row>
    <row r="171" spans="1:26" ht="15.75" customHeight="1">
      <c r="A171" s="5" t="s">
        <v>19</v>
      </c>
      <c r="B171" s="5">
        <v>1211</v>
      </c>
      <c r="L171" s="3"/>
      <c r="N171" s="3"/>
    </row>
    <row r="172" spans="1:26" ht="15.75" customHeight="1">
      <c r="A172" s="5">
        <v>106.1</v>
      </c>
      <c r="B172" s="5">
        <v>92.4</v>
      </c>
    </row>
    <row r="173" spans="1:26" ht="15.75" customHeight="1">
      <c r="A173" s="8">
        <f>$B$168</f>
        <v>84.3</v>
      </c>
      <c r="B173" s="8">
        <f>$A$168</f>
        <v>77</v>
      </c>
      <c r="C173">
        <v>300</v>
      </c>
      <c r="D173" t="s">
        <v>0</v>
      </c>
      <c r="E173" s="18"/>
      <c r="H173" s="2"/>
      <c r="Z173" s="3"/>
    </row>
    <row r="174" spans="1:26" ht="15.75" customHeight="1">
      <c r="A174" s="8">
        <f>C174*(A173-A172)</f>
        <v>-6539.9999999999991</v>
      </c>
      <c r="B174" s="8">
        <f>C173*(B172-B173)</f>
        <v>4620.0000000000018</v>
      </c>
      <c r="C174">
        <v>300</v>
      </c>
      <c r="D174" t="s">
        <v>10</v>
      </c>
      <c r="E174" s="8">
        <f>A174</f>
        <v>-6539.9999999999991</v>
      </c>
      <c r="F174" s="8">
        <f>(B174+A174)</f>
        <v>-1919.9999999999973</v>
      </c>
      <c r="G174" t="str">
        <f>IF(F174&gt;0, "TRADE","H")</f>
        <v>H</v>
      </c>
      <c r="H174" s="2"/>
      <c r="Z174" s="3"/>
    </row>
    <row r="175" spans="1:26" ht="15.75" customHeight="1">
      <c r="A175" s="9" t="s">
        <v>11</v>
      </c>
      <c r="B175" s="9" t="s">
        <v>12</v>
      </c>
      <c r="C175" s="6">
        <v>46261</v>
      </c>
      <c r="H175" s="5"/>
      <c r="I175" s="5"/>
      <c r="J175" s="5"/>
      <c r="K175" s="5"/>
      <c r="L175" s="3"/>
    </row>
    <row r="176" spans="1:26" ht="15.75" customHeight="1">
      <c r="A176" s="5">
        <v>1211</v>
      </c>
      <c r="B176" s="5" t="s">
        <v>19</v>
      </c>
      <c r="L176" s="3"/>
      <c r="N176" s="3"/>
    </row>
    <row r="177" spans="1:26" ht="15.75" customHeight="1">
      <c r="A177" s="5">
        <v>85.55</v>
      </c>
      <c r="B177" s="5">
        <v>91.35</v>
      </c>
    </row>
    <row r="178" spans="1:26" ht="15.75" customHeight="1">
      <c r="A178" s="8">
        <f>$A$168</f>
        <v>77</v>
      </c>
      <c r="B178" s="8">
        <f>$B$168</f>
        <v>84.3</v>
      </c>
      <c r="C178">
        <v>300</v>
      </c>
      <c r="D178" t="s">
        <v>0</v>
      </c>
      <c r="E178" s="18"/>
      <c r="H178" s="2"/>
      <c r="Z178" s="3"/>
    </row>
    <row r="179" spans="1:26" ht="15.75" customHeight="1">
      <c r="A179" s="8">
        <f>C179*(A178-A177)</f>
        <v>-2564.9999999999991</v>
      </c>
      <c r="B179" s="8">
        <f>C178*(B177-B178)</f>
        <v>2114.9999999999991</v>
      </c>
      <c r="C179">
        <v>300</v>
      </c>
      <c r="D179" t="s">
        <v>10</v>
      </c>
      <c r="E179" s="8">
        <f>A179</f>
        <v>-2564.9999999999991</v>
      </c>
      <c r="F179" s="8">
        <f>(B179+A179)</f>
        <v>-450</v>
      </c>
      <c r="G179" t="str">
        <f>IF(F179&gt;0, "TRADE","H")</f>
        <v>H</v>
      </c>
      <c r="H179" s="2"/>
      <c r="Z179" s="3"/>
    </row>
    <row r="180" spans="1:26" ht="15.75" customHeight="1">
      <c r="A180" s="9" t="s">
        <v>11</v>
      </c>
      <c r="B180" s="9" t="s">
        <v>12</v>
      </c>
      <c r="C180" s="6">
        <v>46261</v>
      </c>
      <c r="H180" s="5"/>
      <c r="I180" s="5"/>
      <c r="J180" s="5"/>
      <c r="K180" s="5"/>
      <c r="L180" s="3"/>
    </row>
    <row r="181" spans="1:26" ht="15.75" customHeight="1">
      <c r="A181" s="5">
        <v>1211</v>
      </c>
      <c r="B181" s="5" t="s">
        <v>19</v>
      </c>
      <c r="L181" s="3"/>
      <c r="N181" s="3"/>
    </row>
    <row r="182" spans="1:26" ht="15.75" customHeight="1">
      <c r="A182" s="5">
        <v>92.25</v>
      </c>
      <c r="B182" s="5">
        <v>94.65</v>
      </c>
    </row>
    <row r="183" spans="1:26" ht="15.75" customHeight="1">
      <c r="A183" s="8">
        <f>$A$168</f>
        <v>77</v>
      </c>
      <c r="B183" s="8">
        <f>$B$168</f>
        <v>84.3</v>
      </c>
      <c r="C183">
        <v>300</v>
      </c>
      <c r="D183" t="s">
        <v>0</v>
      </c>
      <c r="E183" s="18"/>
      <c r="H183" s="2"/>
      <c r="Z183" s="3"/>
    </row>
    <row r="184" spans="1:26" ht="15.75" customHeight="1">
      <c r="A184" s="8">
        <f>C184*(A183-A182)</f>
        <v>-4575</v>
      </c>
      <c r="B184" s="8">
        <f>C183*(B182-B183)</f>
        <v>3105.0000000000027</v>
      </c>
      <c r="C184">
        <v>300</v>
      </c>
      <c r="D184" t="s">
        <v>10</v>
      </c>
      <c r="E184" s="8">
        <f>A184</f>
        <v>-4575</v>
      </c>
      <c r="F184" s="8">
        <f>(B184+A184)</f>
        <v>-1469.9999999999973</v>
      </c>
      <c r="G184" t="str">
        <f>IF(F184&gt;0, "TRADE","H")</f>
        <v>H</v>
      </c>
      <c r="H184" s="2"/>
      <c r="Z184" s="3"/>
    </row>
    <row r="185" spans="1:26" s="32" customFormat="1" ht="15.75" customHeight="1">
      <c r="A185" s="30" t="s">
        <v>11</v>
      </c>
      <c r="B185" s="30" t="s">
        <v>12</v>
      </c>
      <c r="C185" s="31">
        <v>46217</v>
      </c>
      <c r="H185" s="33"/>
      <c r="I185" s="33"/>
      <c r="J185" s="33"/>
      <c r="K185" s="33"/>
      <c r="L185" s="34"/>
    </row>
    <row r="186" spans="1:26" s="32" customFormat="1" ht="15.75" customHeight="1">
      <c r="A186" s="33" t="s">
        <v>21</v>
      </c>
      <c r="B186" s="33">
        <v>1211</v>
      </c>
      <c r="L186" s="34"/>
      <c r="N186" s="34"/>
    </row>
    <row r="187" spans="1:26" s="32" customFormat="1" ht="15.75" customHeight="1">
      <c r="A187" s="33">
        <v>104.7</v>
      </c>
      <c r="B187" s="33">
        <v>84.65</v>
      </c>
    </row>
    <row r="188" spans="1:26" s="32" customFormat="1" ht="15.75" customHeight="1">
      <c r="A188" s="35">
        <f>$B$168</f>
        <v>84.3</v>
      </c>
      <c r="B188" s="35">
        <f>$A$168</f>
        <v>77</v>
      </c>
      <c r="C188" s="32">
        <v>300</v>
      </c>
      <c r="D188" s="32" t="s">
        <v>0</v>
      </c>
      <c r="E188" s="36"/>
      <c r="H188" s="37"/>
      <c r="Z188" s="34"/>
    </row>
    <row r="189" spans="1:26" s="32" customFormat="1" ht="15.75" customHeight="1">
      <c r="A189" s="35">
        <f>C189*(A188-A187)</f>
        <v>-6120.0000000000018</v>
      </c>
      <c r="B189" s="35">
        <f>C188*(B187-B188)</f>
        <v>2295.0000000000018</v>
      </c>
      <c r="C189" s="32">
        <v>300</v>
      </c>
      <c r="D189" s="32" t="s">
        <v>10</v>
      </c>
      <c r="E189" s="35">
        <f>A189</f>
        <v>-6120.0000000000018</v>
      </c>
      <c r="F189" s="35">
        <f>(B189+A189)</f>
        <v>-3825</v>
      </c>
      <c r="G189" s="32" t="str">
        <f>IF(F189&gt;0, "TRADE","H")</f>
        <v>H</v>
      </c>
      <c r="H189" s="37"/>
      <c r="Z189" s="34"/>
    </row>
    <row r="190" spans="1:26" s="32" customFormat="1" ht="15.75" customHeight="1">
      <c r="A190" s="30" t="s">
        <v>11</v>
      </c>
      <c r="B190" s="30" t="s">
        <v>12</v>
      </c>
      <c r="C190" s="31">
        <v>46217</v>
      </c>
      <c r="H190" s="33"/>
      <c r="I190" s="33"/>
      <c r="J190" s="33"/>
      <c r="K190" s="33"/>
      <c r="L190" s="34"/>
    </row>
    <row r="191" spans="1:26" s="32" customFormat="1" ht="15.75" customHeight="1">
      <c r="A191" s="33" t="s">
        <v>21</v>
      </c>
      <c r="B191" s="33">
        <v>1211</v>
      </c>
      <c r="L191" s="34"/>
      <c r="N191" s="34"/>
    </row>
    <row r="192" spans="1:26" s="32" customFormat="1" ht="15.75" customHeight="1">
      <c r="A192" s="33">
        <v>109.1</v>
      </c>
      <c r="B192" s="33">
        <v>83.6</v>
      </c>
    </row>
    <row r="193" spans="1:26" s="32" customFormat="1" ht="15.75" customHeight="1">
      <c r="A193" s="35">
        <f>$B$168</f>
        <v>84.3</v>
      </c>
      <c r="B193" s="35">
        <f>$A$168</f>
        <v>77</v>
      </c>
      <c r="C193" s="32">
        <v>300</v>
      </c>
      <c r="D193" s="32" t="s">
        <v>0</v>
      </c>
      <c r="E193" s="36"/>
      <c r="H193" s="37"/>
      <c r="Z193" s="34"/>
    </row>
    <row r="194" spans="1:26" s="32" customFormat="1" ht="15.75" customHeight="1" thickBot="1">
      <c r="A194" s="35">
        <f>C194*(A193-A192)</f>
        <v>-7439.9999999999991</v>
      </c>
      <c r="B194" s="35">
        <f>C193*(B192-B193)</f>
        <v>1979.9999999999982</v>
      </c>
      <c r="C194" s="32">
        <v>300</v>
      </c>
      <c r="D194" s="32" t="s">
        <v>10</v>
      </c>
      <c r="E194" s="35">
        <f>A194</f>
        <v>-7439.9999999999991</v>
      </c>
      <c r="F194" s="35">
        <f>(B194+A194)</f>
        <v>-5460.0000000000009</v>
      </c>
      <c r="G194" s="32" t="str">
        <f>IF(F194&gt;0, "TRADE","H")</f>
        <v>H</v>
      </c>
      <c r="H194" s="37"/>
      <c r="Z194" s="34"/>
    </row>
    <row r="195" spans="1:26" ht="15.75" customHeight="1" thickTop="1">
      <c r="A195" t="s">
        <v>1</v>
      </c>
      <c r="B195" t="s">
        <v>2</v>
      </c>
      <c r="C195" s="6">
        <v>45944</v>
      </c>
      <c r="H195" s="2">
        <f>(I195-K195)/K195-$D$3</f>
        <v>-7.9460726792477121E-2</v>
      </c>
      <c r="I195" s="13">
        <v>15.07</v>
      </c>
      <c r="J195" s="14">
        <v>6680</v>
      </c>
      <c r="K195">
        <v>17</v>
      </c>
    </row>
    <row r="196" spans="1:26" ht="15.75" customHeight="1" thickBot="1">
      <c r="A196" s="5">
        <v>6680</v>
      </c>
      <c r="B196" s="5">
        <v>1211</v>
      </c>
      <c r="H196" s="2">
        <f>(I196-K196)/K196-$D$3</f>
        <v>-6.5701957229606145E-2</v>
      </c>
      <c r="I196" s="15">
        <v>78.5</v>
      </c>
      <c r="J196" s="16">
        <v>1211</v>
      </c>
      <c r="K196">
        <v>87.2</v>
      </c>
      <c r="M196" s="3"/>
    </row>
    <row r="197" spans="1:26" ht="15.75" customHeight="1" thickTop="1">
      <c r="A197" s="7" t="s">
        <v>27</v>
      </c>
      <c r="B197" s="8" t="s">
        <v>26</v>
      </c>
      <c r="H197" s="2">
        <f>H195-H196</f>
        <v>-1.3758769562870976E-2</v>
      </c>
    </row>
    <row r="198" spans="1:26" ht="15.75" customHeight="1">
      <c r="A198" s="17">
        <f>I195</f>
        <v>15.07</v>
      </c>
      <c r="B198" s="17">
        <f>I196</f>
        <v>78.5</v>
      </c>
      <c r="C198">
        <v>800</v>
      </c>
      <c r="D198" t="s">
        <v>0</v>
      </c>
      <c r="V198" s="3"/>
    </row>
    <row r="199" spans="1:26" ht="15.75" customHeight="1">
      <c r="A199" s="5"/>
      <c r="B199" s="8"/>
      <c r="C199">
        <v>200</v>
      </c>
      <c r="D199" t="s">
        <v>10</v>
      </c>
      <c r="E199" s="8">
        <f>A199</f>
        <v>0</v>
      </c>
      <c r="F199" s="8">
        <f>(B199+A199)</f>
        <v>0</v>
      </c>
      <c r="G199" t="str">
        <f>IF(F199&gt;0, "TRADE","H")</f>
        <v>H</v>
      </c>
      <c r="V199" s="3"/>
    </row>
    <row r="200" spans="1:26" ht="15.75" customHeight="1">
      <c r="A200" t="s">
        <v>1</v>
      </c>
      <c r="B200" t="s">
        <v>2</v>
      </c>
      <c r="C200" s="6">
        <v>45944</v>
      </c>
    </row>
    <row r="201" spans="1:26" ht="15.75" customHeight="1">
      <c r="A201" s="5">
        <v>6680</v>
      </c>
      <c r="B201" s="5">
        <v>1211</v>
      </c>
      <c r="M201" s="3"/>
    </row>
    <row r="202" spans="1:26" ht="15.75" customHeight="1">
      <c r="A202" s="7">
        <f>-0.2511-0.197+26.42</f>
        <v>25.971900000000002</v>
      </c>
      <c r="B202" s="8">
        <f>-0.41+106.4</f>
        <v>105.99000000000001</v>
      </c>
    </row>
    <row r="203" spans="1:26" ht="15.75" customHeight="1">
      <c r="A203" s="8">
        <f>$A$198</f>
        <v>15.07</v>
      </c>
      <c r="B203" s="8">
        <f>$B$198</f>
        <v>78.5</v>
      </c>
      <c r="C203" s="27">
        <v>800</v>
      </c>
      <c r="D203" t="s">
        <v>0</v>
      </c>
      <c r="V203" s="3"/>
    </row>
    <row r="204" spans="1:26" ht="15.75" customHeight="1">
      <c r="A204" s="5">
        <f>(A203-A202)*C203</f>
        <v>-8721.52</v>
      </c>
      <c r="B204" s="8">
        <f>C204*(B202-B203)</f>
        <v>5498.0000000000018</v>
      </c>
      <c r="C204" s="27">
        <v>200</v>
      </c>
      <c r="D204" t="s">
        <v>10</v>
      </c>
      <c r="E204" s="8">
        <f>A204</f>
        <v>-8721.52</v>
      </c>
      <c r="F204" s="8">
        <f>(B204+A204)</f>
        <v>-3223.5199999999986</v>
      </c>
      <c r="G204" t="str">
        <f>IF(F204&gt;0, "TRADE","H")</f>
        <v>H</v>
      </c>
      <c r="V204" s="3"/>
    </row>
    <row r="205" spans="1:26" ht="15.75" customHeight="1">
      <c r="A205" t="s">
        <v>1</v>
      </c>
      <c r="B205" t="s">
        <v>2</v>
      </c>
      <c r="C205" s="6">
        <v>46206</v>
      </c>
    </row>
    <row r="206" spans="1:26" ht="15.75" customHeight="1">
      <c r="A206" s="5">
        <v>6680</v>
      </c>
      <c r="B206" s="5">
        <v>1211</v>
      </c>
      <c r="M206" s="3"/>
    </row>
    <row r="207" spans="1:26" ht="15.75" customHeight="1">
      <c r="A207" s="7">
        <v>18.75</v>
      </c>
      <c r="B207" s="25">
        <v>81.599999999999994</v>
      </c>
    </row>
    <row r="208" spans="1:26" ht="15.75" customHeight="1">
      <c r="A208" s="8">
        <f>$A$198</f>
        <v>15.07</v>
      </c>
      <c r="B208" s="8">
        <f>$B$198</f>
        <v>78.5</v>
      </c>
      <c r="C208" s="27">
        <v>800</v>
      </c>
      <c r="D208" t="s">
        <v>0</v>
      </c>
      <c r="V208" s="3"/>
    </row>
    <row r="209" spans="1:22" ht="15.75" customHeight="1">
      <c r="A209" s="5">
        <f>(A208-A207)*C208</f>
        <v>-2944</v>
      </c>
      <c r="B209" s="8">
        <f>C209*(B207-B208)</f>
        <v>619.99999999999886</v>
      </c>
      <c r="C209" s="27">
        <v>200</v>
      </c>
      <c r="D209" t="s">
        <v>10</v>
      </c>
      <c r="E209" s="8">
        <f>A209</f>
        <v>-2944</v>
      </c>
      <c r="F209" s="8">
        <f>(B209+A209)</f>
        <v>-2324.0000000000009</v>
      </c>
      <c r="G209" t="str">
        <f>IF(F209&gt;0, "TRADE","H")</f>
        <v>H</v>
      </c>
      <c r="V209" s="3"/>
    </row>
    <row r="210" spans="1:22" ht="15.75" customHeight="1">
      <c r="A210" t="s">
        <v>1</v>
      </c>
      <c r="B210" t="s">
        <v>2</v>
      </c>
      <c r="C210" s="6">
        <v>46212</v>
      </c>
    </row>
    <row r="211" spans="1:22" ht="15.75" customHeight="1">
      <c r="A211" s="5">
        <v>6680</v>
      </c>
      <c r="B211" s="5">
        <v>1211</v>
      </c>
      <c r="M211" s="3"/>
    </row>
    <row r="212" spans="1:22" ht="15.75" customHeight="1">
      <c r="A212" s="7">
        <v>17.96</v>
      </c>
      <c r="B212" s="25">
        <v>84.45</v>
      </c>
    </row>
    <row r="213" spans="1:22" ht="15.75" customHeight="1">
      <c r="A213" s="8">
        <f>$A$198</f>
        <v>15.07</v>
      </c>
      <c r="B213" s="8">
        <f>$B$198</f>
        <v>78.5</v>
      </c>
      <c r="C213" s="24">
        <v>1200</v>
      </c>
      <c r="D213" t="s">
        <v>0</v>
      </c>
      <c r="V213" s="3"/>
    </row>
    <row r="214" spans="1:22" ht="15.75" customHeight="1">
      <c r="A214" s="5">
        <f>(A213-A212)*C213</f>
        <v>-3468.0000000000009</v>
      </c>
      <c r="B214" s="8">
        <f>C214*(B212-B213)</f>
        <v>1785.0000000000009</v>
      </c>
      <c r="C214" s="24">
        <v>300</v>
      </c>
      <c r="D214" t="s">
        <v>10</v>
      </c>
      <c r="E214" s="8">
        <f>A214</f>
        <v>-3468.0000000000009</v>
      </c>
      <c r="F214" s="8">
        <f>(B214+A214)</f>
        <v>-1683</v>
      </c>
      <c r="G214" t="str">
        <f>IF(F214&gt;0, "TRADE","H")</f>
        <v>H</v>
      </c>
      <c r="V214" s="3"/>
    </row>
    <row r="215" spans="1:22" ht="15.75" customHeight="1">
      <c r="A215" t="s">
        <v>1</v>
      </c>
      <c r="B215" t="s">
        <v>2</v>
      </c>
      <c r="C215" s="6">
        <v>46213</v>
      </c>
    </row>
    <row r="216" spans="1:22" ht="15.75" customHeight="1">
      <c r="A216" s="5">
        <v>6680</v>
      </c>
      <c r="B216" s="5">
        <v>1211</v>
      </c>
      <c r="M216" s="3"/>
    </row>
    <row r="217" spans="1:22" ht="15.75" customHeight="1">
      <c r="A217" s="7">
        <v>17.86</v>
      </c>
      <c r="B217" s="25">
        <v>84.95</v>
      </c>
    </row>
    <row r="218" spans="1:22" ht="15.75" customHeight="1">
      <c r="A218" s="8">
        <f>$A$198</f>
        <v>15.07</v>
      </c>
      <c r="B218" s="8">
        <f>$B$198</f>
        <v>78.5</v>
      </c>
      <c r="C218" s="24">
        <v>1200</v>
      </c>
      <c r="D218" t="s">
        <v>0</v>
      </c>
      <c r="V218" s="3"/>
    </row>
    <row r="219" spans="1:22" ht="15.75" customHeight="1">
      <c r="A219" s="5">
        <f>(A218-A217)*C218</f>
        <v>-3347.9999999999991</v>
      </c>
      <c r="B219" s="8">
        <f>C219*(B217-B218)</f>
        <v>1935.0000000000009</v>
      </c>
      <c r="C219" s="24">
        <v>300</v>
      </c>
      <c r="D219" t="s">
        <v>10</v>
      </c>
      <c r="E219" s="8">
        <f>A219</f>
        <v>-3347.9999999999991</v>
      </c>
      <c r="F219" s="8">
        <f>(B219+A219)</f>
        <v>-1412.9999999999982</v>
      </c>
      <c r="G219" t="str">
        <f>IF(F219&gt;0, "TRADE","H")</f>
        <v>H</v>
      </c>
      <c r="V219" s="3"/>
    </row>
    <row r="220" spans="1:22" ht="15.75" customHeight="1">
      <c r="A220" t="s">
        <v>1</v>
      </c>
      <c r="B220" t="s">
        <v>2</v>
      </c>
      <c r="C220" s="6">
        <v>46213</v>
      </c>
    </row>
    <row r="221" spans="1:22" ht="15.75" customHeight="1">
      <c r="A221" s="5">
        <v>6680</v>
      </c>
      <c r="B221" s="5">
        <v>1211</v>
      </c>
      <c r="M221" s="3"/>
    </row>
    <row r="222" spans="1:22" ht="15.75" customHeight="1">
      <c r="A222" s="7">
        <v>17.47</v>
      </c>
      <c r="B222" s="25">
        <v>85.65</v>
      </c>
    </row>
    <row r="223" spans="1:22" ht="15.75" customHeight="1">
      <c r="A223" s="8">
        <f>$A$198</f>
        <v>15.07</v>
      </c>
      <c r="B223" s="8">
        <f>$B$198</f>
        <v>78.5</v>
      </c>
      <c r="C223" s="27">
        <v>800</v>
      </c>
      <c r="D223" t="s">
        <v>0</v>
      </c>
      <c r="V223" s="3"/>
    </row>
    <row r="224" spans="1:22" ht="15.75" customHeight="1">
      <c r="A224" s="5">
        <f>(A223-A222)*C223</f>
        <v>-1919.9999999999989</v>
      </c>
      <c r="B224" s="8">
        <f>C224*(B222-B223)</f>
        <v>1430.0000000000011</v>
      </c>
      <c r="C224" s="27">
        <v>200</v>
      </c>
      <c r="D224" t="s">
        <v>10</v>
      </c>
      <c r="E224" s="8">
        <f>A224</f>
        <v>-1919.9999999999989</v>
      </c>
      <c r="F224" s="8">
        <f>(B224+A224)</f>
        <v>-489.99999999999773</v>
      </c>
      <c r="G224" t="str">
        <f>IF(F224&gt;0, "TRADE","H")</f>
        <v>H</v>
      </c>
      <c r="V224" s="3"/>
    </row>
    <row r="225" spans="1:22" ht="15.75" customHeight="1">
      <c r="A225" t="s">
        <v>1</v>
      </c>
      <c r="B225" t="s">
        <v>2</v>
      </c>
      <c r="C225" s="6">
        <v>46293</v>
      </c>
    </row>
    <row r="226" spans="1:22" ht="15.75" customHeight="1">
      <c r="A226" s="5">
        <v>6680</v>
      </c>
      <c r="B226" s="5">
        <v>1211</v>
      </c>
      <c r="M226" s="3"/>
    </row>
    <row r="227" spans="1:22" ht="15.75" customHeight="1">
      <c r="A227" s="7">
        <v>15.07</v>
      </c>
      <c r="B227" s="25">
        <v>78.5</v>
      </c>
    </row>
    <row r="228" spans="1:22" ht="15.75" customHeight="1">
      <c r="A228" s="8">
        <f>$A$198</f>
        <v>15.07</v>
      </c>
      <c r="B228" s="8">
        <f>$B$198</f>
        <v>78.5</v>
      </c>
      <c r="C228" s="27">
        <v>800</v>
      </c>
      <c r="D228" t="s">
        <v>0</v>
      </c>
      <c r="V228" s="3"/>
    </row>
    <row r="229" spans="1:22" ht="15.75" customHeight="1">
      <c r="A229" s="5">
        <f>(A228-A227)*C228</f>
        <v>0</v>
      </c>
      <c r="B229" s="8">
        <f>C229*(B227-B228)</f>
        <v>0</v>
      </c>
      <c r="C229" s="27">
        <v>200</v>
      </c>
      <c r="D229" t="s">
        <v>10</v>
      </c>
      <c r="E229" s="8">
        <f>A229</f>
        <v>0</v>
      </c>
      <c r="F229" s="8">
        <f>(B229+A229)</f>
        <v>0</v>
      </c>
      <c r="G229" t="str">
        <f>IF(F229&gt;0, "TRADE","H")</f>
        <v>H</v>
      </c>
      <c r="V229" s="3"/>
    </row>
    <row r="230" spans="1:22" ht="15.75" customHeight="1">
      <c r="A230" t="s">
        <v>1</v>
      </c>
      <c r="B230" t="s">
        <v>2</v>
      </c>
      <c r="C230" s="6">
        <v>46293</v>
      </c>
    </row>
    <row r="231" spans="1:22" ht="15.75" customHeight="1">
      <c r="A231" s="5">
        <v>6680</v>
      </c>
      <c r="B231" s="5">
        <v>1211</v>
      </c>
      <c r="M231" s="3"/>
    </row>
    <row r="232" spans="1:22" ht="15.75" customHeight="1">
      <c r="A232" s="7">
        <v>14.9</v>
      </c>
      <c r="B232" s="25">
        <v>78.650000000000006</v>
      </c>
    </row>
    <row r="233" spans="1:22" ht="15.75" customHeight="1">
      <c r="A233" s="8">
        <f>$A$198</f>
        <v>15.07</v>
      </c>
      <c r="B233" s="8">
        <f>$B$198</f>
        <v>78.5</v>
      </c>
      <c r="C233" s="27">
        <v>800</v>
      </c>
      <c r="D233" t="s">
        <v>0</v>
      </c>
      <c r="V233" s="3"/>
    </row>
    <row r="234" spans="1:22" ht="15.75" customHeight="1">
      <c r="A234" s="5">
        <f>(A233-A232)*C233</f>
        <v>135.99999999999994</v>
      </c>
      <c r="B234" s="8">
        <f>C234*(B232-B233)</f>
        <v>30.000000000001137</v>
      </c>
      <c r="C234" s="27">
        <v>200</v>
      </c>
      <c r="D234" t="s">
        <v>10</v>
      </c>
      <c r="E234" s="8">
        <f>A234</f>
        <v>135.99999999999994</v>
      </c>
      <c r="F234" s="8">
        <f>(B234+A234)</f>
        <v>166.00000000000108</v>
      </c>
      <c r="G234" t="str">
        <f>IF(F234&gt;0, "TRADE","H")</f>
        <v>TRADE</v>
      </c>
      <c r="V234" s="3"/>
    </row>
    <row r="235" spans="1:22" ht="15.75" customHeight="1">
      <c r="A235" t="s">
        <v>1</v>
      </c>
      <c r="B235" t="s">
        <v>2</v>
      </c>
      <c r="C235" s="6">
        <v>46267</v>
      </c>
    </row>
    <row r="236" spans="1:22" ht="15.75" customHeight="1">
      <c r="A236" s="5">
        <v>1211</v>
      </c>
      <c r="B236" s="5">
        <v>6680</v>
      </c>
      <c r="M236" s="3"/>
    </row>
    <row r="237" spans="1:22" ht="15.75" customHeight="1">
      <c r="A237" s="7">
        <v>84.75</v>
      </c>
      <c r="B237" s="25">
        <v>16.25</v>
      </c>
    </row>
    <row r="238" spans="1:22" ht="15.75" customHeight="1">
      <c r="A238" s="8">
        <f>$B$198</f>
        <v>78.5</v>
      </c>
      <c r="B238" s="8">
        <f>$A$198</f>
        <v>15.07</v>
      </c>
      <c r="C238" s="27">
        <v>200</v>
      </c>
      <c r="D238" t="s">
        <v>0</v>
      </c>
      <c r="V238" s="3"/>
    </row>
    <row r="239" spans="1:22" ht="15.75" customHeight="1">
      <c r="A239" s="5">
        <f>(A238-A237)*C238</f>
        <v>-1250</v>
      </c>
      <c r="B239" s="8">
        <f>C239*(B237-B238)</f>
        <v>943.99999999999977</v>
      </c>
      <c r="C239" s="27">
        <v>800</v>
      </c>
      <c r="D239" t="s">
        <v>10</v>
      </c>
      <c r="E239" s="8">
        <f>A239</f>
        <v>-1250</v>
      </c>
      <c r="F239" s="8">
        <f>(B239+A239)</f>
        <v>-306.00000000000023</v>
      </c>
      <c r="G239" t="str">
        <f>IF(F239&gt;0, "TRADE","H")</f>
        <v>H</v>
      </c>
      <c r="V239" s="3"/>
    </row>
    <row r="240" spans="1:22" ht="15.75" customHeight="1">
      <c r="A240" t="s">
        <v>1</v>
      </c>
      <c r="B240" t="s">
        <v>2</v>
      </c>
      <c r="C240" s="6">
        <v>46265</v>
      </c>
    </row>
    <row r="241" spans="1:22" ht="15.75" customHeight="1">
      <c r="A241" s="5">
        <v>1211</v>
      </c>
      <c r="B241" s="5">
        <v>6680</v>
      </c>
      <c r="M241" s="3"/>
    </row>
    <row r="242" spans="1:22" ht="15.75" customHeight="1">
      <c r="A242" s="7">
        <v>88.5</v>
      </c>
      <c r="B242" s="25">
        <v>16.97</v>
      </c>
    </row>
    <row r="243" spans="1:22" ht="15.75" customHeight="1">
      <c r="A243" s="8">
        <f>$B$198</f>
        <v>78.5</v>
      </c>
      <c r="B243" s="8">
        <f>$A$198</f>
        <v>15.07</v>
      </c>
      <c r="C243" s="24">
        <v>300</v>
      </c>
      <c r="D243" t="s">
        <v>0</v>
      </c>
      <c r="V243" s="3"/>
    </row>
    <row r="244" spans="1:22" ht="15.75" customHeight="1">
      <c r="A244" s="5">
        <f>(A243-A242)*C243</f>
        <v>-3000</v>
      </c>
      <c r="B244" s="8">
        <f>C244*(B242-B243)</f>
        <v>2279.9999999999982</v>
      </c>
      <c r="C244" s="24">
        <v>1200</v>
      </c>
      <c r="D244" t="s">
        <v>10</v>
      </c>
      <c r="E244" s="8">
        <f>A244</f>
        <v>-3000</v>
      </c>
      <c r="F244" s="8">
        <f>(B244+A244)</f>
        <v>-720.00000000000182</v>
      </c>
      <c r="G244" t="str">
        <f>IF(F244&gt;0, "TRADE","H")</f>
        <v>H</v>
      </c>
      <c r="V244" s="3"/>
    </row>
    <row r="245" spans="1:22" ht="15.75" customHeight="1">
      <c r="A245" t="s">
        <v>1</v>
      </c>
      <c r="B245" t="s">
        <v>2</v>
      </c>
      <c r="C245" s="6">
        <v>46261</v>
      </c>
    </row>
    <row r="246" spans="1:22" ht="15.75" customHeight="1">
      <c r="A246" s="5">
        <v>1211</v>
      </c>
      <c r="B246" s="5">
        <v>6680</v>
      </c>
      <c r="M246" s="3"/>
    </row>
    <row r="247" spans="1:22" ht="15.75" customHeight="1">
      <c r="A247" s="7">
        <v>91.25</v>
      </c>
      <c r="B247" s="25">
        <v>17.23</v>
      </c>
    </row>
    <row r="248" spans="1:22" ht="15.75" customHeight="1">
      <c r="A248" s="8">
        <f>$B$198</f>
        <v>78.5</v>
      </c>
      <c r="B248" s="8">
        <f>$A$198</f>
        <v>15.07</v>
      </c>
      <c r="C248" s="27">
        <v>200</v>
      </c>
      <c r="D248" t="s">
        <v>0</v>
      </c>
      <c r="V248" s="3"/>
    </row>
    <row r="249" spans="1:22" ht="15.75" customHeight="1" thickBot="1">
      <c r="A249" s="5">
        <f>(A248-A247)*C248</f>
        <v>-2550</v>
      </c>
      <c r="B249" s="8">
        <f>C249*(B247-B248)</f>
        <v>1728</v>
      </c>
      <c r="C249" s="27">
        <v>800</v>
      </c>
      <c r="D249" t="s">
        <v>10</v>
      </c>
      <c r="E249" s="8">
        <f>A249</f>
        <v>-2550</v>
      </c>
      <c r="F249" s="8">
        <f>(B249+A249)</f>
        <v>-822</v>
      </c>
      <c r="G249" t="str">
        <f>IF(F249&gt;0, "TRADE","H")</f>
        <v>H</v>
      </c>
      <c r="V249" s="3"/>
    </row>
    <row r="250" spans="1:22" ht="15.75" customHeight="1" thickTop="1">
      <c r="A250" s="5">
        <v>2024</v>
      </c>
      <c r="B250" s="8"/>
      <c r="E250" s="8"/>
      <c r="H250" s="2">
        <f>(I250-K250)/K250-$D$3</f>
        <v>5.5121316551176129E-2</v>
      </c>
      <c r="I250" s="13">
        <v>0.19400000000000001</v>
      </c>
      <c r="J250" s="14">
        <v>2007</v>
      </c>
      <c r="K250">
        <v>0.19</v>
      </c>
      <c r="V250" s="3"/>
    </row>
    <row r="251" spans="1:22" ht="15.75" customHeight="1" thickBot="1">
      <c r="A251" t="s">
        <v>1</v>
      </c>
      <c r="B251" t="s">
        <v>2</v>
      </c>
      <c r="C251" s="6">
        <v>45345</v>
      </c>
      <c r="H251" s="2">
        <f>(I251-K251)/K251-$D$3</f>
        <v>9.2752965424766562E-3</v>
      </c>
      <c r="I251" s="15">
        <v>0.59</v>
      </c>
      <c r="J251" s="16">
        <v>1918</v>
      </c>
      <c r="K251">
        <v>0.60499999999999998</v>
      </c>
    </row>
    <row r="252" spans="1:22" ht="15.75" customHeight="1" thickTop="1">
      <c r="A252" s="5">
        <v>2007</v>
      </c>
      <c r="B252" s="5">
        <v>1918</v>
      </c>
      <c r="H252" s="2">
        <f>H250-H251</f>
        <v>4.5846020008699473E-2</v>
      </c>
      <c r="M252" s="3"/>
    </row>
    <row r="253" spans="1:22" ht="15.75" customHeight="1">
      <c r="A253" s="7" t="s">
        <v>27</v>
      </c>
      <c r="B253" s="8" t="s">
        <v>27</v>
      </c>
    </row>
    <row r="254" spans="1:22" ht="15.75" customHeight="1">
      <c r="A254" s="17">
        <f>I250</f>
        <v>0.19400000000000001</v>
      </c>
      <c r="B254" s="17">
        <f>I251</f>
        <v>0.59</v>
      </c>
      <c r="C254">
        <v>16000</v>
      </c>
      <c r="D254" t="s">
        <v>0</v>
      </c>
      <c r="V254" s="3"/>
    </row>
    <row r="255" spans="1:22" ht="15.75" customHeight="1">
      <c r="A255" s="5"/>
      <c r="B255" s="8"/>
      <c r="C255">
        <v>6000</v>
      </c>
      <c r="D255" t="s">
        <v>10</v>
      </c>
      <c r="E255" s="8">
        <f>A255</f>
        <v>0</v>
      </c>
      <c r="F255" s="8">
        <f>(B255+A255)</f>
        <v>0</v>
      </c>
      <c r="G255" t="str">
        <f>IF(F255&gt;0, "TRADE","H")</f>
        <v>H</v>
      </c>
      <c r="V255" s="3"/>
    </row>
    <row r="256" spans="1:22" ht="15.75" customHeight="1">
      <c r="A256" t="s">
        <v>1</v>
      </c>
      <c r="B256" t="s">
        <v>2</v>
      </c>
      <c r="C256" s="6">
        <v>46077</v>
      </c>
    </row>
    <row r="257" spans="1:26" ht="15.75" customHeight="1">
      <c r="A257" s="5">
        <v>1918</v>
      </c>
      <c r="B257" s="5">
        <v>1918</v>
      </c>
      <c r="M257" s="3"/>
    </row>
    <row r="258" spans="1:26" ht="15.75" customHeight="1">
      <c r="A258" s="7">
        <v>1.24</v>
      </c>
      <c r="B258" s="8">
        <v>0.31</v>
      </c>
    </row>
    <row r="259" spans="1:26" ht="15.75" customHeight="1">
      <c r="A259" s="8">
        <f>$B$254</f>
        <v>0.59</v>
      </c>
      <c r="B259" s="8">
        <f>$A$254</f>
        <v>0.19400000000000001</v>
      </c>
      <c r="C259">
        <v>6000</v>
      </c>
      <c r="D259" t="s">
        <v>0</v>
      </c>
      <c r="V259" s="3"/>
    </row>
    <row r="260" spans="1:26" ht="15.75" customHeight="1">
      <c r="A260" s="5">
        <f>(A259-A258)*C259</f>
        <v>-3900</v>
      </c>
      <c r="B260" s="8">
        <f>C260*(B258-B259)</f>
        <v>1855.9999999999998</v>
      </c>
      <c r="C260">
        <v>16000</v>
      </c>
      <c r="D260" t="s">
        <v>10</v>
      </c>
      <c r="E260" s="8">
        <f>A260</f>
        <v>-3900</v>
      </c>
      <c r="F260" s="8">
        <f>(B260+A260)</f>
        <v>-2044.0000000000002</v>
      </c>
      <c r="G260" t="str">
        <f>IF(F260&gt;0, "TRADE","H")</f>
        <v>H</v>
      </c>
      <c r="V260" s="3"/>
    </row>
    <row r="261" spans="1:26" ht="15.75" customHeight="1">
      <c r="A261" t="s">
        <v>1</v>
      </c>
      <c r="B261" t="s">
        <v>2</v>
      </c>
      <c r="C261" s="6">
        <v>46170</v>
      </c>
    </row>
    <row r="262" spans="1:26" ht="15.75" customHeight="1">
      <c r="A262" s="5">
        <v>1918</v>
      </c>
      <c r="B262" s="5">
        <v>1918</v>
      </c>
      <c r="M262" s="3"/>
    </row>
    <row r="263" spans="1:26" ht="15.75" customHeight="1">
      <c r="A263" s="7">
        <v>0.9</v>
      </c>
      <c r="B263" s="8">
        <v>0.21</v>
      </c>
    </row>
    <row r="264" spans="1:26" ht="15.75" customHeight="1">
      <c r="A264" s="8">
        <f>$B$254</f>
        <v>0.59</v>
      </c>
      <c r="B264" s="8">
        <f>$A$254</f>
        <v>0.19400000000000001</v>
      </c>
      <c r="C264">
        <v>6000</v>
      </c>
      <c r="D264" t="s">
        <v>0</v>
      </c>
      <c r="V264" s="3"/>
    </row>
    <row r="265" spans="1:26" ht="15.75" customHeight="1" thickBot="1">
      <c r="A265" s="5">
        <f>(A264-A263)*C264</f>
        <v>-1860.0000000000002</v>
      </c>
      <c r="B265" s="8">
        <f>C265*(B263-B264)</f>
        <v>255.99999999999977</v>
      </c>
      <c r="C265">
        <v>16000</v>
      </c>
      <c r="D265" t="s">
        <v>10</v>
      </c>
      <c r="E265" s="8">
        <f>A265</f>
        <v>-1860.0000000000002</v>
      </c>
      <c r="F265" s="8">
        <f>(B265+A265)</f>
        <v>-1604.0000000000005</v>
      </c>
      <c r="G265" t="str">
        <f>IF(F265&gt;0, "TRADE","H")</f>
        <v>H</v>
      </c>
      <c r="V265" s="3"/>
    </row>
    <row r="266" spans="1:26" ht="15.75" customHeight="1" thickTop="1">
      <c r="A266" t="s">
        <v>1</v>
      </c>
      <c r="B266" t="s">
        <v>2</v>
      </c>
      <c r="H266" s="2">
        <f>(I266-K266)/K266-$D$3</f>
        <v>0.11826826917181288</v>
      </c>
      <c r="I266" s="13">
        <v>104.3</v>
      </c>
      <c r="J266" s="14" t="s">
        <v>13</v>
      </c>
      <c r="K266">
        <v>96.2</v>
      </c>
      <c r="Z266" s="3"/>
    </row>
    <row r="267" spans="1:26" ht="15.75" customHeight="1" thickBot="1">
      <c r="A267" s="5" t="s">
        <v>3</v>
      </c>
      <c r="B267" s="5">
        <v>700</v>
      </c>
      <c r="H267" s="2">
        <f>(I267-K267)/K267-$D$3</f>
        <v>1.5967139718365633E-2</v>
      </c>
      <c r="I267" s="15">
        <v>444.8</v>
      </c>
      <c r="J267" s="16">
        <v>700</v>
      </c>
      <c r="K267">
        <v>453</v>
      </c>
      <c r="Z267" s="3"/>
    </row>
    <row r="268" spans="1:26" ht="15.75" customHeight="1" thickTop="1">
      <c r="A268" s="5">
        <v>150</v>
      </c>
      <c r="B268" s="5">
        <f>-3.4+352</f>
        <v>348.6</v>
      </c>
      <c r="H268" s="2">
        <f>H266-H267</f>
        <v>0.10230112945344724</v>
      </c>
      <c r="Z268" s="3"/>
    </row>
    <row r="269" spans="1:26" ht="15.75" customHeight="1">
      <c r="A269" s="17">
        <f>I266</f>
        <v>104.3</v>
      </c>
      <c r="B269" s="17">
        <f>I267</f>
        <v>444.8</v>
      </c>
      <c r="C269">
        <v>100</v>
      </c>
      <c r="D269" t="s">
        <v>0</v>
      </c>
      <c r="H269" s="2"/>
      <c r="Z269" s="3"/>
    </row>
    <row r="270" spans="1:26" ht="15.75" customHeight="1" thickBot="1">
      <c r="A270" s="5">
        <f>(A269-A268)*C270</f>
        <v>-13710</v>
      </c>
      <c r="B270" s="5">
        <f>(B268-B269)*C269</f>
        <v>-9619.9999999999982</v>
      </c>
      <c r="C270">
        <v>300</v>
      </c>
      <c r="D270" t="s">
        <v>10</v>
      </c>
      <c r="E270" s="8">
        <f>A270</f>
        <v>-13710</v>
      </c>
      <c r="F270" s="5">
        <f>(B270+A270)</f>
        <v>-23330</v>
      </c>
      <c r="G270" t="str">
        <f>IF(F270&gt;0, "TRADE","H")</f>
        <v>H</v>
      </c>
      <c r="H270" s="2"/>
      <c r="Z270" s="3"/>
    </row>
    <row r="271" spans="1:26" ht="15.75" customHeight="1" thickTop="1" thickBot="1">
      <c r="A271" t="s">
        <v>1</v>
      </c>
      <c r="B271" t="s">
        <v>2</v>
      </c>
      <c r="H271" s="2">
        <f>(I271-K271)/K271-$D$3</f>
        <v>-0.11505412204531505</v>
      </c>
      <c r="I271" s="15">
        <v>23.28</v>
      </c>
      <c r="J271" s="14">
        <v>6030</v>
      </c>
      <c r="K271">
        <v>27.36</v>
      </c>
      <c r="U271" s="3"/>
    </row>
    <row r="272" spans="1:26" ht="15.75" customHeight="1" thickTop="1" thickBot="1">
      <c r="A272" s="5" t="s">
        <v>3</v>
      </c>
      <c r="B272" s="5">
        <v>6030</v>
      </c>
      <c r="H272" s="2">
        <f>(I272-K272)/K272-$D$3</f>
        <v>0.48937014027368403</v>
      </c>
      <c r="I272" s="15">
        <v>140</v>
      </c>
      <c r="J272" s="16" t="s">
        <v>4</v>
      </c>
      <c r="K272">
        <v>96.2</v>
      </c>
      <c r="U272" s="3"/>
    </row>
    <row r="273" spans="1:25" ht="15.75" customHeight="1" thickTop="1">
      <c r="A273" s="7">
        <v>149.5</v>
      </c>
      <c r="B273" s="5">
        <f>-0.32-0.2619-0.521+16.36</f>
        <v>15.257099999999999</v>
      </c>
      <c r="H273" s="2">
        <f>H271-H272</f>
        <v>-0.60442426231899904</v>
      </c>
      <c r="I273" s="9"/>
      <c r="Y273" s="3"/>
    </row>
    <row r="274" spans="1:25" ht="15.75" customHeight="1">
      <c r="A274" s="17">
        <f>I272</f>
        <v>140</v>
      </c>
      <c r="B274" s="17">
        <f>I271</f>
        <v>23.28</v>
      </c>
      <c r="C274">
        <v>4000</v>
      </c>
      <c r="H274" s="2"/>
      <c r="Y274" s="3"/>
    </row>
    <row r="275" spans="1:25" ht="15.75" customHeight="1">
      <c r="A275" s="5">
        <f>(A274-A273)*C275</f>
        <v>-4750</v>
      </c>
      <c r="B275" s="5">
        <f>(B273-B274)*C274</f>
        <v>-32091.600000000006</v>
      </c>
      <c r="C275">
        <v>500</v>
      </c>
      <c r="E275" s="8">
        <f>A275</f>
        <v>-4750</v>
      </c>
      <c r="F275" s="5">
        <f>(B275+A275)</f>
        <v>-36841.600000000006</v>
      </c>
      <c r="G275" t="str">
        <f>IF(F275&gt;0, "TRADE","H")</f>
        <v>H</v>
      </c>
      <c r="H275" s="2"/>
      <c r="Y275" s="3"/>
    </row>
    <row r="276" spans="1:25" ht="15.75" customHeight="1">
      <c r="A276" t="s">
        <v>1</v>
      </c>
      <c r="B276" t="s">
        <v>2</v>
      </c>
      <c r="H276" s="2"/>
      <c r="U276" s="3"/>
    </row>
    <row r="277" spans="1:25" ht="15.75" customHeight="1">
      <c r="A277" s="5" t="s">
        <v>3</v>
      </c>
      <c r="B277" s="5">
        <v>6030</v>
      </c>
      <c r="H277" s="2"/>
      <c r="U277" s="3"/>
    </row>
    <row r="278" spans="1:25" ht="15.75" customHeight="1">
      <c r="A278" s="7">
        <v>138.30000000000001</v>
      </c>
      <c r="B278" s="5">
        <f>-0.32-0.3-0.2619+15.64</f>
        <v>14.758100000000001</v>
      </c>
      <c r="H278" s="2"/>
      <c r="Y278" s="3"/>
    </row>
    <row r="279" spans="1:25" ht="15.75" customHeight="1">
      <c r="A279" s="8">
        <f>A274</f>
        <v>140</v>
      </c>
      <c r="B279" s="8">
        <f>B274</f>
        <v>23.28</v>
      </c>
      <c r="C279">
        <v>4000</v>
      </c>
      <c r="H279" s="2"/>
      <c r="Y279" s="3"/>
    </row>
    <row r="280" spans="1:25" ht="15.75" customHeight="1" thickBot="1">
      <c r="A280" s="5">
        <f>(A279-A278)*C280</f>
        <v>849.99999999999432</v>
      </c>
      <c r="B280" s="5">
        <f>(B278-B279)*C279</f>
        <v>-34087.599999999999</v>
      </c>
      <c r="C280">
        <v>500</v>
      </c>
      <c r="E280" s="8">
        <f>A280</f>
        <v>849.99999999999432</v>
      </c>
      <c r="F280" s="5">
        <f>(B280+A280)</f>
        <v>-33237.600000000006</v>
      </c>
      <c r="G280" t="str">
        <f>IF(F280&gt;0, "TRADE","H")</f>
        <v>H</v>
      </c>
      <c r="H280" s="2"/>
      <c r="N280" s="3"/>
      <c r="Y280" s="3"/>
    </row>
    <row r="281" spans="1:25" ht="15.75" customHeight="1" thickTop="1" thickBot="1">
      <c r="A281" t="s">
        <v>1</v>
      </c>
      <c r="B281" t="s">
        <v>2</v>
      </c>
      <c r="C281" s="6">
        <v>45908</v>
      </c>
      <c r="H281" s="2">
        <f>(I281-K281)/K281-$D$3</f>
        <v>-9.1810358628333796E-2</v>
      </c>
      <c r="I281" s="13">
        <v>62.15</v>
      </c>
      <c r="J281" s="14">
        <v>2382</v>
      </c>
      <c r="K281">
        <v>71.099999999999994</v>
      </c>
      <c r="N281" s="3"/>
    </row>
    <row r="282" spans="1:25" ht="15.75" customHeight="1" thickTop="1" thickBot="1">
      <c r="A282" s="5">
        <v>2382</v>
      </c>
      <c r="B282" s="5" t="s">
        <v>14</v>
      </c>
      <c r="H282" s="2">
        <f>(I282-K282)/K282-$D$3</f>
        <v>-7.3519672616128934E-2</v>
      </c>
      <c r="I282" s="13">
        <v>85.85</v>
      </c>
      <c r="J282" s="16" t="s">
        <v>4</v>
      </c>
      <c r="K282">
        <v>96.2</v>
      </c>
    </row>
    <row r="283" spans="1:25" ht="15.75" customHeight="1" thickTop="1">
      <c r="A283" s="7" t="s">
        <v>26</v>
      </c>
      <c r="B283" s="22" t="s">
        <v>26</v>
      </c>
      <c r="H283" s="2">
        <f>H281-H282</f>
        <v>-1.8290686012204863E-2</v>
      </c>
      <c r="I283" s="9"/>
      <c r="Y283" s="3"/>
    </row>
    <row r="284" spans="1:25" ht="15.75" customHeight="1">
      <c r="A284" s="17">
        <f>I281</f>
        <v>62.15</v>
      </c>
      <c r="B284" s="17">
        <f>I282</f>
        <v>85.85</v>
      </c>
      <c r="C284">
        <v>200</v>
      </c>
      <c r="H284" s="2"/>
      <c r="Y284" s="3"/>
    </row>
    <row r="285" spans="1:25" ht="15.75" customHeight="1">
      <c r="A285" s="5"/>
      <c r="B285" s="5"/>
      <c r="C285">
        <v>200</v>
      </c>
      <c r="E285" s="8">
        <f>A285</f>
        <v>0</v>
      </c>
      <c r="F285" s="5">
        <f>(B285+A285)</f>
        <v>0</v>
      </c>
      <c r="G285" t="str">
        <f>IF(F285&gt;0, "TRADE","H")</f>
        <v>H</v>
      </c>
      <c r="H285" s="2"/>
      <c r="N285" s="3"/>
      <c r="Y285" s="3"/>
    </row>
    <row r="286" spans="1:25" ht="15.75" customHeight="1">
      <c r="A286" t="s">
        <v>1</v>
      </c>
      <c r="B286" t="s">
        <v>2</v>
      </c>
      <c r="C286" s="6">
        <v>46265</v>
      </c>
      <c r="J286" s="3"/>
    </row>
    <row r="287" spans="1:25" ht="15.75" customHeight="1">
      <c r="A287" s="5" t="s">
        <v>24</v>
      </c>
      <c r="B287" s="5">
        <v>2382</v>
      </c>
    </row>
    <row r="288" spans="1:25" ht="15.75" customHeight="1">
      <c r="A288" s="7">
        <v>93.7</v>
      </c>
      <c r="B288" s="22">
        <v>68</v>
      </c>
      <c r="U288" s="3"/>
    </row>
    <row r="289" spans="1:25" ht="15.75" customHeight="1">
      <c r="A289" s="8">
        <f>$B$284</f>
        <v>85.85</v>
      </c>
      <c r="B289" s="8">
        <f>$A$284</f>
        <v>62.15</v>
      </c>
      <c r="C289">
        <v>200</v>
      </c>
      <c r="H289" s="2"/>
      <c r="Y289" s="3"/>
    </row>
    <row r="290" spans="1:25" ht="15.75" customHeight="1">
      <c r="A290" s="5">
        <f>(A289-A288)*C290</f>
        <v>-1570.0000000000018</v>
      </c>
      <c r="B290" s="5">
        <f>(B288-B289)*C289</f>
        <v>1170.0000000000002</v>
      </c>
      <c r="C290">
        <v>200</v>
      </c>
      <c r="E290" s="8">
        <f>A290</f>
        <v>-1570.0000000000018</v>
      </c>
      <c r="F290" s="5">
        <f>(B290+A290)</f>
        <v>-400.00000000000159</v>
      </c>
      <c r="G290" t="str">
        <f>IF(F290&gt;0, "TRADE","H")</f>
        <v>H</v>
      </c>
      <c r="H290" s="2"/>
      <c r="N290" s="3"/>
      <c r="Y290" s="3"/>
    </row>
    <row r="291" spans="1:25" ht="15.75" customHeight="1">
      <c r="A291" t="s">
        <v>1</v>
      </c>
      <c r="B291" t="s">
        <v>2</v>
      </c>
      <c r="C291" s="6">
        <v>46289</v>
      </c>
      <c r="J291" s="3"/>
    </row>
    <row r="292" spans="1:25" ht="15.75" customHeight="1">
      <c r="A292" s="5" t="s">
        <v>14</v>
      </c>
      <c r="B292" s="5">
        <v>2382</v>
      </c>
    </row>
    <row r="293" spans="1:25" ht="15.75" customHeight="1">
      <c r="A293" s="7">
        <v>86.55</v>
      </c>
      <c r="B293" s="22">
        <v>65.05</v>
      </c>
      <c r="U293" s="3"/>
    </row>
    <row r="294" spans="1:25" ht="15.75" customHeight="1">
      <c r="A294" s="8">
        <f>$B$284</f>
        <v>85.85</v>
      </c>
      <c r="B294" s="8">
        <f>$A$284</f>
        <v>62.15</v>
      </c>
      <c r="C294">
        <v>200</v>
      </c>
      <c r="H294" s="2"/>
      <c r="Y294" s="3"/>
    </row>
    <row r="295" spans="1:25" ht="15.75" customHeight="1">
      <c r="A295" s="5">
        <f>(A294-A293)*C295</f>
        <v>-140.00000000000057</v>
      </c>
      <c r="B295" s="5">
        <f>(B293-B294)*C294</f>
        <v>579.99999999999977</v>
      </c>
      <c r="C295">
        <v>200</v>
      </c>
      <c r="E295" s="8">
        <f>A295</f>
        <v>-140.00000000000057</v>
      </c>
      <c r="F295" s="5">
        <f>(B295+A295)</f>
        <v>439.9999999999992</v>
      </c>
      <c r="G295" t="str">
        <f>IF(F295&gt;0, "TRADE","H")</f>
        <v>TRADE</v>
      </c>
      <c r="H295" s="2"/>
      <c r="N295" s="3"/>
      <c r="Y295" s="3"/>
    </row>
    <row r="296" spans="1:25" ht="15.75" customHeight="1">
      <c r="A296" t="s">
        <v>1</v>
      </c>
      <c r="B296" t="s">
        <v>2</v>
      </c>
      <c r="C296" s="6">
        <v>45901</v>
      </c>
      <c r="H296" s="2"/>
      <c r="N296" s="3"/>
    </row>
    <row r="297" spans="1:25" ht="15.75" customHeight="1">
      <c r="A297" s="5">
        <v>2382</v>
      </c>
      <c r="B297" s="5" t="s">
        <v>14</v>
      </c>
      <c r="H297" s="2"/>
    </row>
    <row r="298" spans="1:25" ht="15.75" customHeight="1">
      <c r="A298" s="7">
        <f>-1.206+83.65</f>
        <v>82.444000000000003</v>
      </c>
      <c r="B298" s="22">
        <v>93.9</v>
      </c>
      <c r="H298" s="2"/>
      <c r="Y298" s="3"/>
    </row>
    <row r="299" spans="1:25" ht="15.75" customHeight="1">
      <c r="A299" s="8">
        <f>$A$284</f>
        <v>62.15</v>
      </c>
      <c r="B299" s="8">
        <f>$B$284</f>
        <v>85.85</v>
      </c>
      <c r="C299">
        <v>200</v>
      </c>
      <c r="H299" s="2"/>
      <c r="Y299" s="3"/>
    </row>
    <row r="300" spans="1:25" ht="15.75" customHeight="1">
      <c r="A300" s="5">
        <f>(A299-A298)*C300</f>
        <v>-4058.8000000000006</v>
      </c>
      <c r="B300" s="5">
        <f>(B298-B299)*C299</f>
        <v>1610.0000000000023</v>
      </c>
      <c r="C300">
        <v>200</v>
      </c>
      <c r="E300" s="8">
        <f>A300</f>
        <v>-4058.8000000000006</v>
      </c>
      <c r="F300" s="5">
        <f>(B300+A300)</f>
        <v>-2448.7999999999984</v>
      </c>
      <c r="G300" t="str">
        <f>IF(F300&gt;0, "TRADE","H")</f>
        <v>H</v>
      </c>
      <c r="H300" s="2"/>
      <c r="N300" s="3"/>
      <c r="Y300" s="3"/>
    </row>
    <row r="301" spans="1:25" ht="15.75" customHeight="1">
      <c r="A301" t="s">
        <v>1</v>
      </c>
      <c r="B301" t="s">
        <v>2</v>
      </c>
      <c r="C301" s="6">
        <v>45898</v>
      </c>
      <c r="H301" s="2"/>
      <c r="N301" s="3"/>
    </row>
    <row r="302" spans="1:25" ht="15.75" customHeight="1">
      <c r="A302" s="5">
        <v>2382</v>
      </c>
      <c r="B302" s="5" t="s">
        <v>14</v>
      </c>
      <c r="H302" s="2"/>
    </row>
    <row r="303" spans="1:25" ht="15.75" customHeight="1">
      <c r="A303" s="7">
        <f>-1.206+83.55</f>
        <v>82.343999999999994</v>
      </c>
      <c r="B303" s="22">
        <v>89.7</v>
      </c>
      <c r="H303" s="2"/>
      <c r="Y303" s="3"/>
    </row>
    <row r="304" spans="1:25" ht="15.75" customHeight="1">
      <c r="A304" s="8">
        <f>$A$284</f>
        <v>62.15</v>
      </c>
      <c r="B304" s="8">
        <f>$B$284</f>
        <v>85.85</v>
      </c>
      <c r="C304">
        <v>200</v>
      </c>
      <c r="H304" s="2"/>
      <c r="Y304" s="3"/>
    </row>
    <row r="305" spans="1:25" ht="15.75" customHeight="1">
      <c r="A305" s="5">
        <f>(A304-A303)*C305</f>
        <v>-4038.7999999999993</v>
      </c>
      <c r="B305" s="5">
        <f>(B303-B304)*C304</f>
        <v>770.00000000000171</v>
      </c>
      <c r="C305">
        <v>200</v>
      </c>
      <c r="E305" s="8">
        <f>A305</f>
        <v>-4038.7999999999993</v>
      </c>
      <c r="F305" s="5">
        <f>(B305+A305)</f>
        <v>-3268.7999999999975</v>
      </c>
      <c r="G305" t="str">
        <f>IF(F305&gt;0, "TRADE","H")</f>
        <v>H</v>
      </c>
      <c r="H305" s="2"/>
      <c r="N305" s="3"/>
      <c r="Y305" s="3"/>
    </row>
    <row r="306" spans="1:25" ht="15.75" customHeight="1">
      <c r="A306" t="s">
        <v>1</v>
      </c>
      <c r="B306" t="s">
        <v>2</v>
      </c>
      <c r="C306" s="6">
        <v>45898</v>
      </c>
      <c r="H306" s="2"/>
      <c r="N306" s="3"/>
    </row>
    <row r="307" spans="1:25" ht="15.75" customHeight="1">
      <c r="A307" s="5">
        <v>2382</v>
      </c>
      <c r="B307" s="5" t="s">
        <v>14</v>
      </c>
      <c r="H307" s="2"/>
    </row>
    <row r="308" spans="1:25" ht="15.75" customHeight="1">
      <c r="A308" s="7">
        <f>-1.206+82</f>
        <v>80.793999999999997</v>
      </c>
      <c r="B308" s="22">
        <v>87.9</v>
      </c>
      <c r="H308" s="2"/>
      <c r="Y308" s="3"/>
    </row>
    <row r="309" spans="1:25" ht="15.75" customHeight="1">
      <c r="A309" s="8">
        <f>$A$284</f>
        <v>62.15</v>
      </c>
      <c r="B309" s="8">
        <f>$B$284</f>
        <v>85.85</v>
      </c>
      <c r="C309">
        <v>200</v>
      </c>
      <c r="H309" s="2"/>
      <c r="Y309" s="3"/>
    </row>
    <row r="310" spans="1:25" ht="15.75" customHeight="1">
      <c r="A310" s="5">
        <f>(A309-A308)*C310</f>
        <v>-3728.7999999999997</v>
      </c>
      <c r="B310" s="5">
        <f>(B308-B309)*C309</f>
        <v>410.00000000000227</v>
      </c>
      <c r="C310">
        <v>200</v>
      </c>
      <c r="E310" s="8">
        <f>A310</f>
        <v>-3728.7999999999997</v>
      </c>
      <c r="F310" s="5">
        <f>(B310+A310)</f>
        <v>-3318.7999999999975</v>
      </c>
      <c r="G310" t="str">
        <f>IF(F310&gt;0, "TRADE","H")</f>
        <v>H</v>
      </c>
      <c r="H310" s="2"/>
      <c r="N310" s="3"/>
      <c r="Y310" s="3"/>
    </row>
    <row r="311" spans="1:25" ht="15.75" customHeight="1">
      <c r="A311" t="s">
        <v>1</v>
      </c>
      <c r="B311" t="s">
        <v>2</v>
      </c>
      <c r="C311" s="6">
        <v>45719</v>
      </c>
      <c r="H311" s="2"/>
      <c r="N311" s="3"/>
    </row>
    <row r="312" spans="1:25" ht="15.75" customHeight="1">
      <c r="A312" s="5">
        <v>2382</v>
      </c>
      <c r="B312" s="5" t="s">
        <v>16</v>
      </c>
      <c r="H312" s="2"/>
    </row>
    <row r="313" spans="1:25" ht="15.75" customHeight="1">
      <c r="A313" s="7">
        <f>-1.206-0.532+84.25</f>
        <v>82.512</v>
      </c>
      <c r="B313" s="22">
        <v>83.9</v>
      </c>
      <c r="H313" s="2"/>
      <c r="Y313" s="3"/>
    </row>
    <row r="314" spans="1:25" ht="15.75" customHeight="1">
      <c r="A314" s="8">
        <f>$A$284</f>
        <v>62.15</v>
      </c>
      <c r="B314" s="8">
        <f>$B$284</f>
        <v>85.85</v>
      </c>
      <c r="C314">
        <v>200</v>
      </c>
      <c r="H314" s="2"/>
      <c r="Y314" s="3"/>
    </row>
    <row r="315" spans="1:25" ht="15.75" customHeight="1">
      <c r="A315" s="5">
        <f>(A314-A313)*C315</f>
        <v>-4072.4000000000005</v>
      </c>
      <c r="B315" s="5">
        <f>(B313-B314)*C314</f>
        <v>-389.99999999999773</v>
      </c>
      <c r="C315">
        <v>200</v>
      </c>
      <c r="E315" s="8">
        <f>A315</f>
        <v>-4072.4000000000005</v>
      </c>
      <c r="F315" s="5">
        <f>(B315+A315)</f>
        <v>-4462.3999999999978</v>
      </c>
      <c r="G315" t="str">
        <f>IF(F315&gt;0, "TRADE","H")</f>
        <v>H</v>
      </c>
      <c r="H315" s="2"/>
      <c r="N315" s="3"/>
      <c r="Y315" s="3"/>
    </row>
    <row r="316" spans="1:25" ht="15.75" customHeight="1">
      <c r="A316" t="s">
        <v>1</v>
      </c>
      <c r="B316" t="s">
        <v>2</v>
      </c>
      <c r="C316" s="6">
        <v>45726</v>
      </c>
      <c r="H316" s="2"/>
      <c r="N316" s="3"/>
    </row>
    <row r="317" spans="1:25" ht="15.75" customHeight="1">
      <c r="A317" s="5">
        <v>2382</v>
      </c>
      <c r="B317" s="5" t="s">
        <v>15</v>
      </c>
      <c r="H317" s="2"/>
    </row>
    <row r="318" spans="1:25" ht="15.75" customHeight="1">
      <c r="A318" s="7">
        <f>-1.206-0.532+84.25</f>
        <v>82.512</v>
      </c>
      <c r="B318" s="22">
        <v>83.9</v>
      </c>
      <c r="H318" s="2"/>
      <c r="Y318" s="3"/>
    </row>
    <row r="319" spans="1:25" ht="15.75" customHeight="1">
      <c r="A319" s="8">
        <f>$A$284</f>
        <v>62.15</v>
      </c>
      <c r="B319" s="8">
        <f>$B$284</f>
        <v>85.85</v>
      </c>
      <c r="C319">
        <v>200</v>
      </c>
      <c r="H319" s="2"/>
      <c r="Y319" s="3"/>
    </row>
    <row r="320" spans="1:25" ht="15.75" customHeight="1" thickBot="1">
      <c r="A320" s="5">
        <f>(A319-A318)*C320</f>
        <v>-4072.4000000000005</v>
      </c>
      <c r="B320" s="5">
        <f>(B318-B319)*C319</f>
        <v>-389.99999999999773</v>
      </c>
      <c r="C320">
        <v>200</v>
      </c>
      <c r="E320" s="8">
        <f>A320</f>
        <v>-4072.4000000000005</v>
      </c>
      <c r="F320" s="5">
        <f>(B320+A320)</f>
        <v>-4462.3999999999978</v>
      </c>
      <c r="G320" t="str">
        <f>IF(F320&gt;0, "TRADE","H")</f>
        <v>H</v>
      </c>
      <c r="H320" s="2"/>
      <c r="Y320" s="3"/>
    </row>
    <row r="321" spans="1:26" ht="15.75" customHeight="1" thickTop="1" thickBot="1">
      <c r="A321" t="s">
        <v>1</v>
      </c>
      <c r="B321" t="s">
        <v>2</v>
      </c>
      <c r="C321" s="19">
        <v>45965</v>
      </c>
      <c r="H321" s="2">
        <f>(I321-K321)/K321-$D$3</f>
        <v>-9.1520937669280586E-2</v>
      </c>
      <c r="I321" s="13">
        <v>74.150000000000006</v>
      </c>
      <c r="J321" s="14">
        <v>9880</v>
      </c>
      <c r="K321">
        <v>84.8</v>
      </c>
      <c r="Z321" s="3"/>
    </row>
    <row r="322" spans="1:26" ht="15.75" customHeight="1" thickTop="1" thickBot="1">
      <c r="A322" s="5">
        <v>9880</v>
      </c>
      <c r="B322" s="5" t="s">
        <v>14</v>
      </c>
      <c r="H322" s="2">
        <f>(I322-K322)/K322-$D$3</f>
        <v>-7.8197427293883487E-2</v>
      </c>
      <c r="I322" s="13">
        <v>85.4</v>
      </c>
      <c r="J322" s="16" t="s">
        <v>4</v>
      </c>
      <c r="K322">
        <v>96.2</v>
      </c>
      <c r="Z322" s="3"/>
    </row>
    <row r="323" spans="1:26" ht="15.75" customHeight="1" thickTop="1">
      <c r="A323" s="20">
        <v>137.1</v>
      </c>
      <c r="B323" s="21">
        <v>125.1</v>
      </c>
      <c r="H323" s="2">
        <f>H321-H322</f>
        <v>-1.3323510375397099E-2</v>
      </c>
      <c r="I323" s="9"/>
      <c r="Z323" s="3"/>
    </row>
    <row r="324" spans="1:26" ht="15.75" customHeight="1">
      <c r="A324" s="17">
        <f>I321</f>
        <v>74.150000000000006</v>
      </c>
      <c r="B324" s="17">
        <f>I322</f>
        <v>85.4</v>
      </c>
      <c r="C324">
        <v>200</v>
      </c>
      <c r="D324" t="s">
        <v>0</v>
      </c>
      <c r="H324" s="2"/>
      <c r="Z324" s="3"/>
    </row>
    <row r="325" spans="1:26" ht="15.75" customHeight="1">
      <c r="A325" s="5">
        <f>(A324-A323)*C325</f>
        <v>-12589.999999999998</v>
      </c>
      <c r="B325" s="5">
        <f>(B323-B324)*C324</f>
        <v>7939.9999999999982</v>
      </c>
      <c r="C325">
        <v>200</v>
      </c>
      <c r="D325" t="s">
        <v>10</v>
      </c>
      <c r="E325" s="8">
        <f>A325</f>
        <v>-12589.999999999998</v>
      </c>
      <c r="F325" s="5">
        <f>(B325+A325)</f>
        <v>-4650</v>
      </c>
      <c r="G325" t="str">
        <f>IF(F325&gt;0, "TRADE","H")</f>
        <v>H</v>
      </c>
      <c r="H325" s="2"/>
      <c r="Z325" s="3"/>
    </row>
    <row r="326" spans="1:26" ht="15.75" customHeight="1">
      <c r="A326" t="s">
        <v>1</v>
      </c>
      <c r="B326" t="s">
        <v>2</v>
      </c>
      <c r="C326" s="19">
        <v>46217</v>
      </c>
      <c r="H326" s="2"/>
      <c r="Z326" s="3"/>
    </row>
    <row r="327" spans="1:26" ht="15.75" customHeight="1">
      <c r="A327" s="5" t="s">
        <v>23</v>
      </c>
      <c r="B327" s="5">
        <v>9880</v>
      </c>
      <c r="H327" s="2"/>
      <c r="Z327" s="3"/>
    </row>
    <row r="328" spans="1:26" ht="15.75" customHeight="1">
      <c r="A328" s="20">
        <v>109.1</v>
      </c>
      <c r="B328" s="21">
        <v>81.849999999999994</v>
      </c>
      <c r="H328" s="2"/>
      <c r="Z328" s="3"/>
    </row>
    <row r="329" spans="1:26" ht="15.75" customHeight="1">
      <c r="A329" s="8">
        <f>$B$324</f>
        <v>85.4</v>
      </c>
      <c r="B329" s="8">
        <f>$A$324</f>
        <v>74.150000000000006</v>
      </c>
      <c r="C329">
        <v>200</v>
      </c>
      <c r="D329" t="s">
        <v>0</v>
      </c>
      <c r="H329" s="2"/>
      <c r="Z329" s="3"/>
    </row>
    <row r="330" spans="1:26" ht="15.75" customHeight="1">
      <c r="A330" s="5">
        <f>(A329-A328)*C330</f>
        <v>-4739.9999999999982</v>
      </c>
      <c r="B330" s="5">
        <f>(B328-B329)*C329</f>
        <v>1539.9999999999977</v>
      </c>
      <c r="C330">
        <v>200</v>
      </c>
      <c r="D330" t="s">
        <v>10</v>
      </c>
      <c r="E330" s="8">
        <f>A330</f>
        <v>-4739.9999999999982</v>
      </c>
      <c r="F330" s="5">
        <f>(B330+A330)</f>
        <v>-3200.0000000000005</v>
      </c>
      <c r="G330" t="str">
        <f>IF(F330&gt;0, "TRADE","H")</f>
        <v>H</v>
      </c>
      <c r="H330" s="2"/>
      <c r="Z330" s="3"/>
    </row>
    <row r="331" spans="1:26" ht="15.75" customHeight="1">
      <c r="A331" t="s">
        <v>1</v>
      </c>
      <c r="B331" t="s">
        <v>2</v>
      </c>
      <c r="C331" s="19">
        <v>46217</v>
      </c>
      <c r="H331" s="2"/>
      <c r="Z331" s="3"/>
    </row>
    <row r="332" spans="1:26" ht="15.75" customHeight="1">
      <c r="A332" s="5" t="s">
        <v>23</v>
      </c>
      <c r="B332" s="5">
        <v>9880</v>
      </c>
      <c r="H332" s="2"/>
      <c r="Z332" s="3"/>
    </row>
    <row r="333" spans="1:26" ht="15.75" customHeight="1">
      <c r="A333" s="20">
        <v>105.7</v>
      </c>
      <c r="B333" s="21">
        <v>80.25</v>
      </c>
      <c r="H333" s="2"/>
      <c r="Z333" s="3"/>
    </row>
    <row r="334" spans="1:26" ht="15.75" customHeight="1">
      <c r="A334" s="8">
        <f>$B$324</f>
        <v>85.4</v>
      </c>
      <c r="B334" s="8">
        <f>$A$324</f>
        <v>74.150000000000006</v>
      </c>
      <c r="C334">
        <v>200</v>
      </c>
      <c r="D334" t="s">
        <v>0</v>
      </c>
      <c r="H334" s="2"/>
      <c r="Z334" s="3"/>
    </row>
    <row r="335" spans="1:26" ht="15.75" customHeight="1">
      <c r="A335" s="5">
        <f>(A334-A333)*C335</f>
        <v>-4059.9999999999995</v>
      </c>
      <c r="B335" s="5">
        <f>(B333-B334)*C334</f>
        <v>1219.9999999999989</v>
      </c>
      <c r="C335">
        <v>200</v>
      </c>
      <c r="D335" t="s">
        <v>10</v>
      </c>
      <c r="E335" s="8">
        <f>A335</f>
        <v>-4059.9999999999995</v>
      </c>
      <c r="F335" s="5">
        <f>(B335+A335)</f>
        <v>-2840.0000000000009</v>
      </c>
      <c r="G335" t="str">
        <f>IF(F335&gt;0, "TRADE","H")</f>
        <v>H</v>
      </c>
      <c r="H335" s="2"/>
      <c r="Z335" s="3"/>
    </row>
    <row r="336" spans="1:26" ht="15.75" customHeight="1">
      <c r="A336" t="s">
        <v>1</v>
      </c>
      <c r="B336" t="s">
        <v>2</v>
      </c>
      <c r="C336" s="19">
        <v>46231</v>
      </c>
      <c r="H336" s="2"/>
      <c r="Z336" s="3"/>
    </row>
    <row r="337" spans="1:26" ht="15.75" customHeight="1">
      <c r="A337" s="5" t="s">
        <v>23</v>
      </c>
      <c r="B337" s="5">
        <v>9880</v>
      </c>
      <c r="H337" s="2"/>
      <c r="Z337" s="3"/>
    </row>
    <row r="338" spans="1:26" ht="15.75" customHeight="1">
      <c r="A338" s="20">
        <v>102.1</v>
      </c>
      <c r="B338" s="21">
        <v>79.349999999999994</v>
      </c>
      <c r="H338" s="2"/>
      <c r="Z338" s="3"/>
    </row>
    <row r="339" spans="1:26" ht="15.75" customHeight="1">
      <c r="A339" s="8">
        <f>$B$324</f>
        <v>85.4</v>
      </c>
      <c r="B339" s="8">
        <f>$A$324</f>
        <v>74.150000000000006</v>
      </c>
      <c r="C339">
        <v>200</v>
      </c>
      <c r="D339" t="s">
        <v>0</v>
      </c>
      <c r="H339" s="2"/>
      <c r="Z339" s="3"/>
    </row>
    <row r="340" spans="1:26" ht="15.75" customHeight="1">
      <c r="A340" s="5">
        <f>(A339-A338)*C340</f>
        <v>-3339.9999999999977</v>
      </c>
      <c r="B340" s="5">
        <f>(B338-B339)*C339</f>
        <v>1039.9999999999977</v>
      </c>
      <c r="C340">
        <v>200</v>
      </c>
      <c r="D340" t="s">
        <v>10</v>
      </c>
      <c r="E340" s="8">
        <f>A340</f>
        <v>-3339.9999999999977</v>
      </c>
      <c r="F340" s="5">
        <f>(B340+A340)</f>
        <v>-2300</v>
      </c>
      <c r="G340" t="str">
        <f>IF(F340&gt;0, "TRADE","H")</f>
        <v>H</v>
      </c>
      <c r="H340" s="2"/>
      <c r="Z340" s="3"/>
    </row>
    <row r="341" spans="1:26" ht="15.75" customHeight="1">
      <c r="A341" t="s">
        <v>1</v>
      </c>
      <c r="B341" t="s">
        <v>2</v>
      </c>
      <c r="C341" s="19">
        <v>46238</v>
      </c>
      <c r="H341" s="2"/>
      <c r="Z341" s="3"/>
    </row>
    <row r="342" spans="1:26" ht="15.75" customHeight="1">
      <c r="A342" s="5" t="s">
        <v>16</v>
      </c>
      <c r="B342" s="5">
        <v>9880</v>
      </c>
      <c r="H342" s="2"/>
      <c r="Z342" s="3"/>
    </row>
    <row r="343" spans="1:26" ht="15.75" customHeight="1">
      <c r="A343" s="20">
        <v>109.8</v>
      </c>
      <c r="B343" s="21">
        <v>86.4</v>
      </c>
      <c r="H343" s="2"/>
      <c r="Z343" s="3"/>
    </row>
    <row r="344" spans="1:26" ht="15.75" customHeight="1">
      <c r="A344" s="8">
        <f>$B$324</f>
        <v>85.4</v>
      </c>
      <c r="B344" s="8">
        <f>$A$324</f>
        <v>74.150000000000006</v>
      </c>
      <c r="C344">
        <v>200</v>
      </c>
      <c r="D344" t="s">
        <v>0</v>
      </c>
      <c r="H344" s="2"/>
      <c r="Z344" s="3"/>
    </row>
    <row r="345" spans="1:26" ht="15.75" customHeight="1">
      <c r="A345" s="5">
        <f>(A344-A343)*C345</f>
        <v>-4879.9999999999982</v>
      </c>
      <c r="B345" s="5">
        <f>(B343-B344)*C344</f>
        <v>2450</v>
      </c>
      <c r="C345">
        <v>200</v>
      </c>
      <c r="D345" t="s">
        <v>10</v>
      </c>
      <c r="E345" s="8">
        <f>A345</f>
        <v>-4879.9999999999982</v>
      </c>
      <c r="F345" s="5">
        <f>(B345+A345)</f>
        <v>-2429.9999999999982</v>
      </c>
      <c r="G345" t="str">
        <f>IF(F345&gt;0, "TRADE","H")</f>
        <v>H</v>
      </c>
      <c r="H345" s="2"/>
      <c r="Z345" s="3"/>
    </row>
    <row r="346" spans="1:26" ht="15.75" customHeight="1">
      <c r="A346" t="s">
        <v>1</v>
      </c>
      <c r="B346" t="s">
        <v>2</v>
      </c>
      <c r="C346" s="19">
        <v>46240</v>
      </c>
      <c r="H346" s="2"/>
      <c r="Z346" s="3"/>
    </row>
    <row r="347" spans="1:26" ht="15.75" customHeight="1">
      <c r="A347" s="5" t="s">
        <v>16</v>
      </c>
      <c r="B347" s="5">
        <v>9880</v>
      </c>
      <c r="H347" s="2"/>
      <c r="Z347" s="3"/>
    </row>
    <row r="348" spans="1:26" ht="15.75" customHeight="1">
      <c r="A348" s="20">
        <v>108.9</v>
      </c>
      <c r="B348" s="21">
        <v>88.3</v>
      </c>
      <c r="H348" s="2"/>
      <c r="Z348" s="3"/>
    </row>
    <row r="349" spans="1:26" ht="15.75" customHeight="1">
      <c r="A349" s="8">
        <f>$B$324</f>
        <v>85.4</v>
      </c>
      <c r="B349" s="8">
        <f>$A$324</f>
        <v>74.150000000000006</v>
      </c>
      <c r="C349">
        <v>200</v>
      </c>
      <c r="D349" t="s">
        <v>0</v>
      </c>
      <c r="H349" s="2"/>
      <c r="Z349" s="3"/>
    </row>
    <row r="350" spans="1:26" ht="15.75" customHeight="1">
      <c r="A350" s="5">
        <f>(A349-A348)*C350</f>
        <v>-4700</v>
      </c>
      <c r="B350" s="5">
        <f>(B348-B349)*C349</f>
        <v>2829.9999999999982</v>
      </c>
      <c r="C350">
        <v>200</v>
      </c>
      <c r="D350" t="s">
        <v>10</v>
      </c>
      <c r="E350" s="8">
        <f>A350</f>
        <v>-4700</v>
      </c>
      <c r="F350" s="5">
        <f>(B350+A350)</f>
        <v>-1870.0000000000018</v>
      </c>
      <c r="G350" t="str">
        <f>IF(F350&gt;0, "TRADE","H")</f>
        <v>H</v>
      </c>
      <c r="H350" s="2"/>
      <c r="Z350" s="3"/>
    </row>
    <row r="351" spans="1:26" ht="15.75" customHeight="1">
      <c r="A351" t="s">
        <v>1</v>
      </c>
      <c r="B351" t="s">
        <v>2</v>
      </c>
      <c r="C351" s="19">
        <v>46245</v>
      </c>
      <c r="H351" s="2"/>
      <c r="Z351" s="3"/>
    </row>
    <row r="352" spans="1:26" ht="15.75" customHeight="1">
      <c r="A352" s="5" t="s">
        <v>16</v>
      </c>
      <c r="B352" s="5">
        <v>9880</v>
      </c>
      <c r="H352" s="2"/>
      <c r="Z352" s="3"/>
    </row>
    <row r="353" spans="1:26" ht="15.75" customHeight="1">
      <c r="A353" s="20">
        <v>105.5</v>
      </c>
      <c r="B353" s="21">
        <v>88.75</v>
      </c>
      <c r="H353" s="2"/>
      <c r="Z353" s="3"/>
    </row>
    <row r="354" spans="1:26" ht="15.75" customHeight="1">
      <c r="A354" s="8">
        <f>$B$324</f>
        <v>85.4</v>
      </c>
      <c r="B354" s="8">
        <f>$A$324</f>
        <v>74.150000000000006</v>
      </c>
      <c r="C354">
        <v>200</v>
      </c>
      <c r="D354" t="s">
        <v>0</v>
      </c>
      <c r="H354" s="2"/>
      <c r="Z354" s="3"/>
    </row>
    <row r="355" spans="1:26" ht="15.75" customHeight="1">
      <c r="A355" s="5">
        <f>(A354-A353)*C355</f>
        <v>-4019.9999999999991</v>
      </c>
      <c r="B355" s="5">
        <f>(B353-B354)*C354</f>
        <v>2919.9999999999991</v>
      </c>
      <c r="C355">
        <v>200</v>
      </c>
      <c r="D355" t="s">
        <v>10</v>
      </c>
      <c r="E355" s="8">
        <f>A355</f>
        <v>-4019.9999999999991</v>
      </c>
      <c r="F355" s="5">
        <f>(B355+A355)</f>
        <v>-1100</v>
      </c>
      <c r="G355" t="str">
        <f>IF(F355&gt;0, "TRADE","H")</f>
        <v>H</v>
      </c>
      <c r="H355" s="2"/>
      <c r="Z355" s="3"/>
    </row>
    <row r="356" spans="1:26" ht="15.75" customHeight="1">
      <c r="A356" t="s">
        <v>1</v>
      </c>
      <c r="B356" t="s">
        <v>2</v>
      </c>
      <c r="C356" s="19">
        <v>46245</v>
      </c>
      <c r="H356" s="2"/>
      <c r="Z356" s="3"/>
    </row>
    <row r="357" spans="1:26" ht="15.75" customHeight="1">
      <c r="A357" s="5" t="s">
        <v>16</v>
      </c>
      <c r="B357" s="5">
        <v>9880</v>
      </c>
      <c r="H357" s="2"/>
      <c r="Z357" s="3"/>
    </row>
    <row r="358" spans="1:26" ht="15.75" customHeight="1">
      <c r="A358" s="20">
        <v>105</v>
      </c>
      <c r="B358" s="21">
        <v>91.25</v>
      </c>
      <c r="H358" s="2"/>
      <c r="Z358" s="3"/>
    </row>
    <row r="359" spans="1:26" ht="15.75" customHeight="1">
      <c r="A359" s="8">
        <f>$B$324</f>
        <v>85.4</v>
      </c>
      <c r="B359" s="8">
        <f>$A$324</f>
        <v>74.150000000000006</v>
      </c>
      <c r="C359">
        <v>200</v>
      </c>
      <c r="D359" t="s">
        <v>0</v>
      </c>
      <c r="H359" s="2"/>
      <c r="Z359" s="3"/>
    </row>
    <row r="360" spans="1:26" ht="15.75" customHeight="1">
      <c r="A360" s="5">
        <f>(A359-A358)*C360</f>
        <v>-3919.9999999999991</v>
      </c>
      <c r="B360" s="5">
        <f>(B358-B359)*C359</f>
        <v>3419.9999999999991</v>
      </c>
      <c r="C360">
        <v>200</v>
      </c>
      <c r="D360" t="s">
        <v>10</v>
      </c>
      <c r="E360" s="8">
        <f>A360</f>
        <v>-3919.9999999999991</v>
      </c>
      <c r="F360" s="5">
        <f>(B360+A360)</f>
        <v>-500</v>
      </c>
      <c r="G360" t="str">
        <f>IF(F360&gt;0, "TRADE","H")</f>
        <v>H</v>
      </c>
      <c r="H360" s="2"/>
      <c r="Z360" s="3"/>
    </row>
    <row r="361" spans="1:26" ht="15.75" customHeight="1">
      <c r="A361" t="s">
        <v>1</v>
      </c>
      <c r="B361" t="s">
        <v>2</v>
      </c>
      <c r="C361" s="19">
        <v>46281</v>
      </c>
      <c r="H361" s="2"/>
      <c r="Z361" s="3"/>
    </row>
    <row r="362" spans="1:26" ht="15.75" customHeight="1">
      <c r="A362" s="5" t="s">
        <v>16</v>
      </c>
      <c r="B362" s="5">
        <v>9880</v>
      </c>
      <c r="H362" s="2"/>
      <c r="Z362" s="3"/>
    </row>
    <row r="363" spans="1:26" ht="15.75" customHeight="1">
      <c r="A363" s="20">
        <v>88.3</v>
      </c>
      <c r="B363" s="21">
        <v>77.7</v>
      </c>
      <c r="H363" s="2"/>
      <c r="Z363" s="3"/>
    </row>
    <row r="364" spans="1:26" ht="15.75" customHeight="1">
      <c r="A364" s="8">
        <f>$B$324</f>
        <v>85.4</v>
      </c>
      <c r="B364" s="8">
        <f>$A$324</f>
        <v>74.150000000000006</v>
      </c>
      <c r="C364">
        <v>200</v>
      </c>
      <c r="D364" t="s">
        <v>0</v>
      </c>
      <c r="H364" s="2"/>
      <c r="Z364" s="3"/>
    </row>
    <row r="365" spans="1:26" ht="15.75" customHeight="1">
      <c r="A365" s="5">
        <f>(A364-A363)*C365</f>
        <v>-579.99999999999829</v>
      </c>
      <c r="B365" s="5">
        <f>(B363-B364)*C364</f>
        <v>709.99999999999943</v>
      </c>
      <c r="C365">
        <v>200</v>
      </c>
      <c r="D365" t="s">
        <v>10</v>
      </c>
      <c r="E365" s="8">
        <f>A365</f>
        <v>-579.99999999999829</v>
      </c>
      <c r="F365" s="5">
        <f>(B365+A365)</f>
        <v>130.00000000000114</v>
      </c>
      <c r="G365" t="str">
        <f>IF(F365&gt;0, "TRADE","H")</f>
        <v>TRADE</v>
      </c>
      <c r="H365" s="2"/>
      <c r="Z365" s="3"/>
    </row>
    <row r="366" spans="1:26" ht="15.75" customHeight="1">
      <c r="A366" t="s">
        <v>1</v>
      </c>
      <c r="B366" t="s">
        <v>2</v>
      </c>
      <c r="C366" s="19">
        <v>46293</v>
      </c>
      <c r="H366" s="2"/>
      <c r="Z366" s="3"/>
    </row>
    <row r="367" spans="1:26" ht="15.75" customHeight="1">
      <c r="A367" s="5">
        <v>9880</v>
      </c>
      <c r="B367" s="5" t="s">
        <v>14</v>
      </c>
      <c r="H367" s="2"/>
      <c r="Z367" s="3"/>
    </row>
    <row r="368" spans="1:26" ht="15.75" customHeight="1">
      <c r="A368" s="20">
        <v>74.150000000000006</v>
      </c>
      <c r="B368" s="21">
        <v>85.4</v>
      </c>
      <c r="H368" s="2"/>
      <c r="Z368" s="3"/>
    </row>
    <row r="369" spans="1:26" ht="15.75" customHeight="1">
      <c r="A369" s="8">
        <f>$A$324</f>
        <v>74.150000000000006</v>
      </c>
      <c r="B369" s="8">
        <f>$B$324</f>
        <v>85.4</v>
      </c>
      <c r="C369">
        <v>200</v>
      </c>
      <c r="D369" t="s">
        <v>0</v>
      </c>
      <c r="H369" s="2"/>
      <c r="Z369" s="3"/>
    </row>
    <row r="370" spans="1:26" ht="15.75" customHeight="1">
      <c r="A370" s="5">
        <f>(A369-A368)*C370</f>
        <v>0</v>
      </c>
      <c r="B370" s="5">
        <f>(B368-B369)*C369</f>
        <v>0</v>
      </c>
      <c r="C370">
        <v>200</v>
      </c>
      <c r="D370" t="s">
        <v>10</v>
      </c>
      <c r="E370" s="8">
        <f>A370</f>
        <v>0</v>
      </c>
      <c r="F370" s="5">
        <f>(B370+A370)</f>
        <v>0</v>
      </c>
      <c r="G370" t="str">
        <f>IF(F370&gt;0, "TRADE","H")</f>
        <v>H</v>
      </c>
      <c r="H370" s="2"/>
      <c r="Z370" s="3"/>
    </row>
    <row r="371" spans="1:26" ht="15.75" customHeight="1">
      <c r="A371" t="s">
        <v>1</v>
      </c>
      <c r="B371" t="s">
        <v>2</v>
      </c>
      <c r="C371" s="19">
        <v>46274</v>
      </c>
      <c r="H371" s="2"/>
      <c r="Z371" s="3"/>
    </row>
    <row r="372" spans="1:26" ht="15.75" customHeight="1">
      <c r="A372" s="5">
        <v>9880</v>
      </c>
      <c r="B372" s="5" t="s">
        <v>16</v>
      </c>
      <c r="H372" s="2"/>
      <c r="Z372" s="3"/>
    </row>
    <row r="373" spans="1:26" ht="15.75" customHeight="1">
      <c r="A373" s="20">
        <v>84.3</v>
      </c>
      <c r="B373" s="21">
        <v>92.1</v>
      </c>
      <c r="H373" s="2"/>
      <c r="Z373" s="3"/>
    </row>
    <row r="374" spans="1:26" ht="15.75" customHeight="1">
      <c r="A374" s="8">
        <f>$A$324</f>
        <v>74.150000000000006</v>
      </c>
      <c r="B374" s="8">
        <f>$B$324</f>
        <v>85.4</v>
      </c>
      <c r="C374">
        <v>200</v>
      </c>
      <c r="D374" t="s">
        <v>0</v>
      </c>
      <c r="H374" s="2"/>
      <c r="Z374" s="3"/>
    </row>
    <row r="375" spans="1:26" ht="15.75" customHeight="1">
      <c r="A375" s="5">
        <f>(A374-A373)*C375</f>
        <v>-2029.9999999999982</v>
      </c>
      <c r="B375" s="5">
        <f>(B373-B374)*C374</f>
        <v>1339.9999999999977</v>
      </c>
      <c r="C375">
        <v>200</v>
      </c>
      <c r="D375" t="s">
        <v>10</v>
      </c>
      <c r="E375" s="8">
        <f>A375</f>
        <v>-2029.9999999999982</v>
      </c>
      <c r="F375" s="5">
        <f>(B375+A375)</f>
        <v>-690.00000000000045</v>
      </c>
      <c r="G375" t="str">
        <f>IF(F375&gt;0, "TRADE","H")</f>
        <v>H</v>
      </c>
      <c r="H375" s="2"/>
      <c r="Z375" s="3"/>
    </row>
    <row r="376" spans="1:26" ht="15.75" customHeight="1">
      <c r="A376" t="s">
        <v>1</v>
      </c>
      <c r="B376" t="s">
        <v>2</v>
      </c>
      <c r="C376" s="19">
        <v>46273</v>
      </c>
      <c r="H376" s="2"/>
      <c r="Z376" s="3"/>
    </row>
    <row r="377" spans="1:26" ht="15.75" customHeight="1">
      <c r="A377" s="5">
        <v>9880</v>
      </c>
      <c r="B377" s="5" t="s">
        <v>16</v>
      </c>
      <c r="H377" s="2"/>
      <c r="Z377" s="3"/>
    </row>
    <row r="378" spans="1:26" ht="15.75" customHeight="1">
      <c r="A378" s="20">
        <v>84.85</v>
      </c>
      <c r="B378" s="21">
        <v>90</v>
      </c>
      <c r="H378" s="2"/>
      <c r="Z378" s="3"/>
    </row>
    <row r="379" spans="1:26" ht="15.75" customHeight="1">
      <c r="A379" s="8">
        <f>$A$324</f>
        <v>74.150000000000006</v>
      </c>
      <c r="B379" s="8">
        <f>$B$324</f>
        <v>85.4</v>
      </c>
      <c r="C379">
        <v>200</v>
      </c>
      <c r="D379" t="s">
        <v>0</v>
      </c>
      <c r="H379" s="2"/>
      <c r="Z379" s="3"/>
    </row>
    <row r="380" spans="1:26" ht="15.75" customHeight="1">
      <c r="A380" s="5">
        <f>(A379-A378)*C380</f>
        <v>-2139.9999999999977</v>
      </c>
      <c r="B380" s="5">
        <f>(B378-B379)*C379</f>
        <v>919.99999999999886</v>
      </c>
      <c r="C380">
        <v>200</v>
      </c>
      <c r="D380" t="s">
        <v>10</v>
      </c>
      <c r="E380" s="8">
        <f>A380</f>
        <v>-2139.9999999999977</v>
      </c>
      <c r="F380" s="5">
        <f>(B380+A380)</f>
        <v>-1219.9999999999989</v>
      </c>
      <c r="G380" t="str">
        <f>IF(F380&gt;0, "TRADE","H")</f>
        <v>H</v>
      </c>
      <c r="H380" s="2"/>
      <c r="Z380" s="3"/>
    </row>
    <row r="381" spans="1:26" ht="15.75" customHeight="1">
      <c r="A381" t="s">
        <v>1</v>
      </c>
      <c r="B381" t="s">
        <v>2</v>
      </c>
      <c r="C381" s="19">
        <v>46253</v>
      </c>
      <c r="H381" s="2"/>
      <c r="Z381" s="3"/>
    </row>
    <row r="382" spans="1:26" ht="15.75" customHeight="1">
      <c r="A382" s="5">
        <v>9880</v>
      </c>
      <c r="B382" s="5" t="s">
        <v>16</v>
      </c>
      <c r="H382" s="2"/>
      <c r="Z382" s="3"/>
    </row>
    <row r="383" spans="1:26" ht="15.75" customHeight="1">
      <c r="A383" s="20">
        <v>86.75</v>
      </c>
      <c r="B383" s="21">
        <v>87.85</v>
      </c>
      <c r="H383" s="2"/>
      <c r="Z383" s="3"/>
    </row>
    <row r="384" spans="1:26" ht="15.75" customHeight="1">
      <c r="A384" s="8">
        <f>$A$324</f>
        <v>74.150000000000006</v>
      </c>
      <c r="B384" s="8">
        <f>$B$324</f>
        <v>85.4</v>
      </c>
      <c r="C384">
        <v>200</v>
      </c>
      <c r="D384" t="s">
        <v>0</v>
      </c>
      <c r="H384" s="2"/>
      <c r="Z384" s="3"/>
    </row>
    <row r="385" spans="1:26" ht="15.75" customHeight="1">
      <c r="A385" s="5">
        <f>(A384-A383)*C385</f>
        <v>-2519.9999999999991</v>
      </c>
      <c r="B385" s="5">
        <f>(B383-B384)*C384</f>
        <v>489.99999999999773</v>
      </c>
      <c r="C385">
        <v>200</v>
      </c>
      <c r="D385" t="s">
        <v>10</v>
      </c>
      <c r="E385" s="8">
        <f>A385</f>
        <v>-2519.9999999999991</v>
      </c>
      <c r="F385" s="5">
        <f>(B385+A385)</f>
        <v>-2030.0000000000014</v>
      </c>
      <c r="G385" t="str">
        <f>IF(F385&gt;0, "TRADE","H")</f>
        <v>H</v>
      </c>
      <c r="H385" s="2"/>
      <c r="Z385" s="3"/>
    </row>
    <row r="386" spans="1:26" ht="15.75" customHeight="1">
      <c r="A386" t="s">
        <v>1</v>
      </c>
      <c r="B386" t="s">
        <v>2</v>
      </c>
      <c r="C386" s="19">
        <v>46077</v>
      </c>
      <c r="H386" s="2"/>
      <c r="Z386" s="3"/>
    </row>
    <row r="387" spans="1:26" ht="15.75" customHeight="1">
      <c r="A387" s="5">
        <v>9880</v>
      </c>
      <c r="B387" s="5" t="s">
        <v>18</v>
      </c>
      <c r="H387" s="2"/>
      <c r="Z387" s="3"/>
    </row>
    <row r="388" spans="1:26" ht="15.75" customHeight="1">
      <c r="A388" s="20">
        <v>129.4</v>
      </c>
      <c r="B388" s="21">
        <v>129.5</v>
      </c>
      <c r="H388" s="2"/>
      <c r="Z388" s="3"/>
    </row>
    <row r="389" spans="1:26" ht="15.75" customHeight="1">
      <c r="A389" s="8">
        <f>$A$324</f>
        <v>74.150000000000006</v>
      </c>
      <c r="B389" s="8">
        <f>$B$324</f>
        <v>85.4</v>
      </c>
      <c r="C389" s="26">
        <v>300</v>
      </c>
      <c r="D389" t="s">
        <v>0</v>
      </c>
      <c r="H389" s="2"/>
      <c r="Z389" s="3"/>
    </row>
    <row r="390" spans="1:26" ht="15.75" customHeight="1">
      <c r="A390" s="5">
        <f>(A389-A388)*C390</f>
        <v>-16575</v>
      </c>
      <c r="B390" s="5">
        <f>(B388-B389)*C389</f>
        <v>13229.999999999998</v>
      </c>
      <c r="C390" s="26">
        <v>300</v>
      </c>
      <c r="D390" t="s">
        <v>10</v>
      </c>
      <c r="E390" s="8">
        <f>A390</f>
        <v>-16575</v>
      </c>
      <c r="F390" s="5">
        <f>(B390+A390)</f>
        <v>-3345.0000000000018</v>
      </c>
      <c r="G390" t="str">
        <f>IF(F390&gt;0, "TRADE","H")</f>
        <v>H</v>
      </c>
      <c r="H390" s="2"/>
      <c r="Z390" s="3"/>
    </row>
    <row r="391" spans="1:26" ht="15.75" customHeight="1">
      <c r="A391" t="s">
        <v>1</v>
      </c>
      <c r="B391" t="s">
        <v>2</v>
      </c>
      <c r="C391" s="19">
        <v>46076</v>
      </c>
      <c r="H391" s="2"/>
      <c r="Z391" s="3"/>
    </row>
    <row r="392" spans="1:26" ht="15.75" customHeight="1">
      <c r="A392" s="5">
        <v>9880</v>
      </c>
      <c r="B392" s="5" t="s">
        <v>17</v>
      </c>
      <c r="H392" s="2"/>
      <c r="Z392" s="3"/>
    </row>
    <row r="393" spans="1:26" ht="15.75" customHeight="1">
      <c r="A393" s="20">
        <v>143.1</v>
      </c>
      <c r="B393" s="21">
        <v>133.5</v>
      </c>
      <c r="H393" s="2"/>
      <c r="Z393" s="3"/>
    </row>
    <row r="394" spans="1:26" ht="15.75" customHeight="1">
      <c r="A394" s="8">
        <f>$A$324</f>
        <v>74.150000000000006</v>
      </c>
      <c r="B394" s="8">
        <f>$B$324</f>
        <v>85.4</v>
      </c>
      <c r="C394">
        <v>200</v>
      </c>
      <c r="D394" t="s">
        <v>0</v>
      </c>
      <c r="H394" s="2"/>
      <c r="Z394" s="3"/>
    </row>
    <row r="395" spans="1:26" ht="15.75" customHeight="1">
      <c r="A395" s="5">
        <f>(A394-A393)*C395</f>
        <v>-13789.999999999998</v>
      </c>
      <c r="B395" s="5">
        <f>(B393-B394)*C394</f>
        <v>9619.9999999999982</v>
      </c>
      <c r="C395">
        <v>200</v>
      </c>
      <c r="D395" t="s">
        <v>10</v>
      </c>
      <c r="E395" s="8">
        <f>A395</f>
        <v>-13789.999999999998</v>
      </c>
      <c r="F395" s="5">
        <f>(B395+A395)</f>
        <v>-4170</v>
      </c>
      <c r="G395" t="str">
        <f>IF(F395&gt;0, "TRADE","H")</f>
        <v>H</v>
      </c>
      <c r="H395" s="2"/>
      <c r="Z395" s="3"/>
    </row>
    <row r="396" spans="1:26" ht="15.75" customHeight="1">
      <c r="A396" t="s">
        <v>1</v>
      </c>
      <c r="B396" t="s">
        <v>2</v>
      </c>
      <c r="C396" s="19">
        <v>46076</v>
      </c>
      <c r="H396" s="2"/>
      <c r="Z396" s="3"/>
    </row>
    <row r="397" spans="1:26" ht="15.75" customHeight="1">
      <c r="A397" s="5">
        <v>9880</v>
      </c>
      <c r="B397" s="5" t="s">
        <v>17</v>
      </c>
      <c r="H397" s="2"/>
      <c r="Z397" s="3"/>
    </row>
    <row r="398" spans="1:26" ht="15.75" customHeight="1">
      <c r="A398" s="20">
        <v>143.80000000000001</v>
      </c>
      <c r="B398" s="21">
        <v>132.80000000000001</v>
      </c>
      <c r="H398" s="2"/>
      <c r="Z398" s="3"/>
    </row>
    <row r="399" spans="1:26" ht="15.75" customHeight="1">
      <c r="A399" s="8">
        <f>$A$324</f>
        <v>74.150000000000006</v>
      </c>
      <c r="B399" s="8">
        <f>$B$324</f>
        <v>85.4</v>
      </c>
      <c r="C399">
        <v>200</v>
      </c>
      <c r="D399" t="s">
        <v>0</v>
      </c>
      <c r="H399" s="2"/>
      <c r="Z399" s="3"/>
    </row>
    <row r="400" spans="1:26" ht="15.75" customHeight="1">
      <c r="A400" s="5">
        <f>(A399-A398)*C400</f>
        <v>-13930.000000000002</v>
      </c>
      <c r="B400" s="5">
        <f>(B398-B399)*C399</f>
        <v>9480.0000000000018</v>
      </c>
      <c r="C400">
        <v>200</v>
      </c>
      <c r="D400" t="s">
        <v>10</v>
      </c>
      <c r="E400" s="8">
        <f>A400</f>
        <v>-13930.000000000002</v>
      </c>
      <c r="F400" s="5">
        <f>(B400+A400)</f>
        <v>-4450</v>
      </c>
      <c r="G400" t="str">
        <f>IF(F400&gt;0, "TRADE","H")</f>
        <v>H</v>
      </c>
      <c r="H400" s="2"/>
      <c r="Z400" s="3"/>
    </row>
    <row r="401" spans="1:26" ht="15.75" customHeight="1">
      <c r="A401" t="s">
        <v>1</v>
      </c>
      <c r="B401" t="s">
        <v>2</v>
      </c>
      <c r="C401" s="19">
        <v>46073</v>
      </c>
      <c r="H401" s="2"/>
      <c r="Z401" s="3"/>
    </row>
    <row r="402" spans="1:26" ht="15.75" customHeight="1">
      <c r="A402" s="5">
        <v>9880</v>
      </c>
      <c r="B402" s="5" t="s">
        <v>17</v>
      </c>
      <c r="H402" s="2"/>
      <c r="Z402" s="3"/>
    </row>
    <row r="403" spans="1:26" ht="15.75" customHeight="1">
      <c r="A403" s="20">
        <v>144.6</v>
      </c>
      <c r="B403" s="21">
        <v>130.19999999999999</v>
      </c>
      <c r="H403" s="2"/>
      <c r="Z403" s="3"/>
    </row>
    <row r="404" spans="1:26" ht="15.75" customHeight="1">
      <c r="A404" s="8">
        <f>$A$324</f>
        <v>74.150000000000006</v>
      </c>
      <c r="B404" s="8">
        <f>$B$324</f>
        <v>85.4</v>
      </c>
      <c r="C404">
        <v>200</v>
      </c>
      <c r="D404" t="s">
        <v>0</v>
      </c>
      <c r="H404" s="2"/>
      <c r="Z404" s="3"/>
    </row>
    <row r="405" spans="1:26" ht="15.75" customHeight="1">
      <c r="A405" s="5">
        <f>(A404-A403)*C405</f>
        <v>-14089.999999999998</v>
      </c>
      <c r="B405" s="5">
        <f>(B403-B404)*C404</f>
        <v>8959.9999999999964</v>
      </c>
      <c r="C405">
        <v>200</v>
      </c>
      <c r="D405" t="s">
        <v>10</v>
      </c>
      <c r="E405" s="8">
        <f>A405</f>
        <v>-14089.999999999998</v>
      </c>
      <c r="F405" s="5">
        <f>(B405+A405)</f>
        <v>-5130.0000000000018</v>
      </c>
      <c r="G405" t="str">
        <f>IF(F405&gt;0, "TRADE","H")</f>
        <v>H</v>
      </c>
      <c r="H405" s="2"/>
      <c r="Z405" s="3"/>
    </row>
    <row r="406" spans="1:26" ht="15.75" customHeight="1">
      <c r="A406" t="s">
        <v>1</v>
      </c>
      <c r="B406" t="s">
        <v>2</v>
      </c>
      <c r="C406" s="19">
        <v>46073</v>
      </c>
      <c r="H406" s="2"/>
      <c r="Z406" s="3"/>
    </row>
    <row r="407" spans="1:26" ht="15.75" customHeight="1">
      <c r="A407" s="5">
        <v>9880</v>
      </c>
      <c r="B407" s="5" t="s">
        <v>17</v>
      </c>
      <c r="H407" s="2"/>
      <c r="Z407" s="3"/>
    </row>
    <row r="408" spans="1:26" ht="15.75" customHeight="1">
      <c r="A408" s="20">
        <v>146.6</v>
      </c>
      <c r="B408" s="21">
        <v>129.5</v>
      </c>
      <c r="H408" s="2"/>
      <c r="Z408" s="3"/>
    </row>
    <row r="409" spans="1:26" ht="15.75" customHeight="1">
      <c r="A409" s="8">
        <f>$A$324</f>
        <v>74.150000000000006</v>
      </c>
      <c r="B409" s="8">
        <f>$B$324</f>
        <v>85.4</v>
      </c>
      <c r="C409">
        <v>200</v>
      </c>
      <c r="D409" t="s">
        <v>0</v>
      </c>
      <c r="H409" s="2"/>
      <c r="Z409" s="3"/>
    </row>
    <row r="410" spans="1:26" ht="15.75" customHeight="1" thickBot="1">
      <c r="A410" s="5">
        <f>(A409-A408)*C410</f>
        <v>-14489.999999999998</v>
      </c>
      <c r="B410" s="5">
        <f>(B408-B409)*C409</f>
        <v>8819.9999999999982</v>
      </c>
      <c r="C410">
        <v>200</v>
      </c>
      <c r="D410" t="s">
        <v>10</v>
      </c>
      <c r="E410" s="8">
        <f>A410</f>
        <v>-14489.999999999998</v>
      </c>
      <c r="F410" s="5">
        <f>(B410+A410)</f>
        <v>-5670</v>
      </c>
      <c r="G410" t="str">
        <f>IF(F410&gt;0, "TRADE","H")</f>
        <v>H</v>
      </c>
      <c r="H410" s="2"/>
      <c r="Z410" s="3"/>
    </row>
    <row r="411" spans="1:26" ht="15.75" customHeight="1" thickTop="1" thickBot="1">
      <c r="A411" t="s">
        <v>1</v>
      </c>
      <c r="B411" t="s">
        <v>2</v>
      </c>
      <c r="C411" s="6">
        <v>45713</v>
      </c>
      <c r="H411" s="2">
        <f>(I411-K411)/K411-$D$3</f>
        <v>-0.52407084991149222</v>
      </c>
      <c r="I411" s="13">
        <v>0.76</v>
      </c>
      <c r="J411" s="14">
        <v>2587</v>
      </c>
      <c r="K411">
        <v>1.72</v>
      </c>
      <c r="O411" s="3"/>
    </row>
    <row r="412" spans="1:26" ht="15.75" customHeight="1" thickTop="1" thickBot="1">
      <c r="A412" s="5">
        <v>2522</v>
      </c>
      <c r="B412" s="5"/>
      <c r="H412" s="2">
        <f>(I412-K412)/K412-$D$3</f>
        <v>-2.866895761332261E-2</v>
      </c>
      <c r="I412" s="13">
        <v>4.93</v>
      </c>
      <c r="J412" s="16">
        <v>2522</v>
      </c>
      <c r="K412">
        <v>5.26</v>
      </c>
      <c r="M412" s="3"/>
    </row>
    <row r="413" spans="1:26" ht="15.75" customHeight="1" thickTop="1">
      <c r="A413" s="7">
        <v>43</v>
      </c>
      <c r="B413" s="5"/>
      <c r="H413" s="2">
        <f>H411-H412</f>
        <v>-0.49540189229816961</v>
      </c>
      <c r="Q413" s="3"/>
    </row>
    <row r="414" spans="1:26" ht="15.75" customHeight="1">
      <c r="A414" s="17">
        <f>I412</f>
        <v>4.93</v>
      </c>
      <c r="B414" s="17"/>
      <c r="C414" s="9"/>
      <c r="H414" s="2"/>
      <c r="Y414" s="3"/>
    </row>
    <row r="415" spans="1:26" ht="15.75" customHeight="1">
      <c r="A415" s="5">
        <f>(A414-A413)*C415</f>
        <v>-19035</v>
      </c>
      <c r="B415" s="8"/>
      <c r="C415" s="9">
        <v>500</v>
      </c>
      <c r="E415" s="8">
        <f>A415</f>
        <v>-19035</v>
      </c>
      <c r="F415" s="8">
        <f>(B415+A415)</f>
        <v>-19035</v>
      </c>
      <c r="G415" t="str">
        <f>IF(F415&gt;0, "TRADE","H")</f>
        <v>H</v>
      </c>
      <c r="H415" s="2"/>
      <c r="Y415" s="3"/>
    </row>
    <row r="416" spans="1:26" ht="15.75" customHeight="1">
      <c r="A416" t="s">
        <v>1</v>
      </c>
      <c r="B416" t="s">
        <v>2</v>
      </c>
      <c r="C416" s="6">
        <v>45996</v>
      </c>
      <c r="K416" s="3"/>
    </row>
    <row r="417" spans="1:25" ht="15.75" customHeight="1">
      <c r="A417" s="5">
        <v>2522</v>
      </c>
      <c r="B417" s="5">
        <v>2587</v>
      </c>
      <c r="I417" s="3"/>
    </row>
    <row r="418" spans="1:25" ht="15.75" customHeight="1">
      <c r="A418" s="7">
        <v>10.65</v>
      </c>
      <c r="B418" s="22">
        <v>4.93</v>
      </c>
      <c r="M418" s="3"/>
    </row>
    <row r="419" spans="1:25" ht="15.75" customHeight="1">
      <c r="A419" s="8">
        <f>$A$519</f>
        <v>4.93</v>
      </c>
      <c r="B419" s="8">
        <f>$B$519</f>
        <v>0.76</v>
      </c>
      <c r="C419" s="9">
        <v>500</v>
      </c>
      <c r="H419" s="2"/>
      <c r="Y419" s="3"/>
    </row>
    <row r="420" spans="1:25" ht="15.75" customHeight="1">
      <c r="A420" s="5">
        <f>(A419-A418)*C420</f>
        <v>-2860.0000000000005</v>
      </c>
      <c r="B420" s="8">
        <f>C419*(B418-B419)</f>
        <v>2085</v>
      </c>
      <c r="C420" s="9">
        <v>500</v>
      </c>
      <c r="E420" s="8">
        <f>A420</f>
        <v>-2860.0000000000005</v>
      </c>
      <c r="F420" s="8">
        <f>(B420+A420)</f>
        <v>-775.00000000000045</v>
      </c>
      <c r="G420" t="str">
        <f>IF(F420&gt;0, "TRADE","H")</f>
        <v>H</v>
      </c>
      <c r="H420" s="2"/>
      <c r="Y420" s="3"/>
    </row>
    <row r="421" spans="1:25" ht="15.75" customHeight="1">
      <c r="A421" t="s">
        <v>1</v>
      </c>
      <c r="B421" t="s">
        <v>2</v>
      </c>
      <c r="C421" s="6">
        <v>46289</v>
      </c>
      <c r="K421" s="3"/>
    </row>
    <row r="422" spans="1:25" ht="15.75" customHeight="1">
      <c r="A422" s="5">
        <v>2522</v>
      </c>
      <c r="B422" s="5">
        <v>2587</v>
      </c>
      <c r="I422" s="3"/>
    </row>
    <row r="423" spans="1:25" ht="15.75" customHeight="1">
      <c r="A423" s="7">
        <v>5.0750000000000002</v>
      </c>
      <c r="B423" s="22">
        <v>0.77500000000000002</v>
      </c>
      <c r="M423" s="3"/>
    </row>
    <row r="424" spans="1:25" ht="15.75" customHeight="1">
      <c r="A424" s="8">
        <f>$A$519</f>
        <v>4.93</v>
      </c>
      <c r="B424" s="8">
        <f>$B$519</f>
        <v>0.76</v>
      </c>
      <c r="C424" s="9">
        <v>500</v>
      </c>
      <c r="H424" s="2"/>
      <c r="Y424" s="3"/>
    </row>
    <row r="425" spans="1:25" ht="15.75" customHeight="1">
      <c r="A425" s="5">
        <f>(A424-A423)*C425</f>
        <v>-72.500000000000227</v>
      </c>
      <c r="B425" s="8">
        <f>C424*(B423-B424)</f>
        <v>7.5000000000000071</v>
      </c>
      <c r="C425" s="9">
        <v>500</v>
      </c>
      <c r="E425" s="8">
        <f>A425</f>
        <v>-72.500000000000227</v>
      </c>
      <c r="F425" s="8">
        <f>(B425+A425)</f>
        <v>-65.000000000000227</v>
      </c>
      <c r="G425" t="str">
        <f>IF(F425&gt;0, "TRADE","H")</f>
        <v>H</v>
      </c>
      <c r="H425" s="2"/>
      <c r="Y425" s="3"/>
    </row>
    <row r="426" spans="1:25" ht="15.75" customHeight="1">
      <c r="A426" t="s">
        <v>1</v>
      </c>
      <c r="B426" t="s">
        <v>2</v>
      </c>
      <c r="C426" s="6">
        <v>46282</v>
      </c>
      <c r="K426" s="3"/>
    </row>
    <row r="427" spans="1:25" ht="15.75" customHeight="1">
      <c r="A427" s="5">
        <v>2587</v>
      </c>
      <c r="B427" s="5">
        <v>2522</v>
      </c>
      <c r="I427" s="3"/>
    </row>
    <row r="428" spans="1:25" ht="15.75" customHeight="1">
      <c r="A428" s="7">
        <v>0.85499999999999998</v>
      </c>
      <c r="B428" s="22">
        <v>5.16</v>
      </c>
      <c r="M428" s="3"/>
    </row>
    <row r="429" spans="1:25" ht="15.75" customHeight="1">
      <c r="A429" s="8">
        <f>$B$519</f>
        <v>0.76</v>
      </c>
      <c r="B429" s="8">
        <f>$A$519</f>
        <v>4.93</v>
      </c>
      <c r="C429" s="9">
        <v>500</v>
      </c>
      <c r="H429" s="2"/>
      <c r="Y429" s="3"/>
    </row>
    <row r="430" spans="1:25" ht="15.75" customHeight="1">
      <c r="A430" s="5">
        <f>(A429-A428)*C430</f>
        <v>-47.499999999999986</v>
      </c>
      <c r="B430" s="8">
        <f>C429*(B428-B429)</f>
        <v>115.00000000000021</v>
      </c>
      <c r="C430" s="9">
        <v>500</v>
      </c>
      <c r="E430" s="8">
        <f>A430</f>
        <v>-47.499999999999986</v>
      </c>
      <c r="F430" s="8">
        <f>(B430+A430)</f>
        <v>67.500000000000227</v>
      </c>
      <c r="G430" t="str">
        <f>IF(F430&gt;0, "TRADE","H")</f>
        <v>TRADE</v>
      </c>
      <c r="H430" s="2"/>
      <c r="Y430" s="3"/>
    </row>
    <row r="431" spans="1:25" ht="15.75" customHeight="1">
      <c r="A431" t="s">
        <v>1</v>
      </c>
      <c r="B431" t="s">
        <v>2</v>
      </c>
      <c r="C431" s="6">
        <v>46274</v>
      </c>
      <c r="K431" s="3"/>
    </row>
    <row r="432" spans="1:25" ht="15.75" customHeight="1">
      <c r="A432" s="5">
        <v>2587</v>
      </c>
      <c r="B432" s="5">
        <v>2522</v>
      </c>
      <c r="I432" s="3"/>
    </row>
    <row r="433" spans="1:25" ht="15.75" customHeight="1">
      <c r="A433" s="7">
        <v>1.04</v>
      </c>
      <c r="B433" s="22">
        <v>5.2050000000000001</v>
      </c>
      <c r="M433" s="3"/>
    </row>
    <row r="434" spans="1:25" ht="15.75" customHeight="1">
      <c r="A434" s="8">
        <f>$B$519</f>
        <v>0.76</v>
      </c>
      <c r="B434" s="8">
        <f>$A$519</f>
        <v>4.93</v>
      </c>
      <c r="C434" s="9">
        <v>500</v>
      </c>
      <c r="H434" s="2"/>
      <c r="Y434" s="3"/>
    </row>
    <row r="435" spans="1:25" ht="15.75" customHeight="1">
      <c r="A435" s="5">
        <f>(A434-A433)*C435</f>
        <v>-140</v>
      </c>
      <c r="B435" s="8">
        <f>C434*(B433-B434)</f>
        <v>137.50000000000017</v>
      </c>
      <c r="C435" s="9">
        <v>500</v>
      </c>
      <c r="E435" s="8">
        <f>A435</f>
        <v>-140</v>
      </c>
      <c r="F435" s="8">
        <f>(B435+A435)</f>
        <v>-2.4999999999998295</v>
      </c>
      <c r="G435" t="str">
        <f>IF(F435&gt;0, "TRADE","H")</f>
        <v>H</v>
      </c>
      <c r="H435" s="2"/>
      <c r="Y435" s="3"/>
    </row>
    <row r="436" spans="1:25" ht="15.75" customHeight="1">
      <c r="A436" t="s">
        <v>1</v>
      </c>
      <c r="B436" t="s">
        <v>2</v>
      </c>
      <c r="C436" s="6">
        <v>46274</v>
      </c>
      <c r="K436" s="3"/>
    </row>
    <row r="437" spans="1:25" ht="15.75" customHeight="1">
      <c r="A437" s="5">
        <v>2587</v>
      </c>
      <c r="B437" s="5">
        <v>2522</v>
      </c>
      <c r="I437" s="3"/>
    </row>
    <row r="438" spans="1:25" ht="15.75" customHeight="1">
      <c r="A438" s="7">
        <v>1.0649999999999999</v>
      </c>
      <c r="B438" s="22">
        <v>5.0149999999999997</v>
      </c>
      <c r="M438" s="3"/>
    </row>
    <row r="439" spans="1:25" ht="15.75" customHeight="1">
      <c r="A439" s="8">
        <f>$B$519</f>
        <v>0.76</v>
      </c>
      <c r="B439" s="8">
        <f>$A$519</f>
        <v>4.93</v>
      </c>
      <c r="C439" s="9">
        <v>500</v>
      </c>
      <c r="H439" s="2"/>
      <c r="Y439" s="3"/>
    </row>
    <row r="440" spans="1:25" ht="15.75" customHeight="1">
      <c r="A440" s="5">
        <f>(A439-A438)*C440</f>
        <v>-152.49999999999997</v>
      </c>
      <c r="B440" s="8">
        <f>C439*(B438-B439)</f>
        <v>42.499999999999986</v>
      </c>
      <c r="C440" s="9">
        <v>500</v>
      </c>
      <c r="E440" s="8">
        <f>A440</f>
        <v>-152.49999999999997</v>
      </c>
      <c r="F440" s="8">
        <f>(B440+A440)</f>
        <v>-109.99999999999999</v>
      </c>
      <c r="G440" t="str">
        <f>IF(F440&gt;0, "TRADE","H")</f>
        <v>H</v>
      </c>
      <c r="H440" s="2"/>
      <c r="Y440" s="3"/>
    </row>
    <row r="441" spans="1:25" ht="15.75" customHeight="1">
      <c r="A441" t="s">
        <v>1</v>
      </c>
      <c r="B441" t="s">
        <v>2</v>
      </c>
      <c r="C441" s="6">
        <v>46261</v>
      </c>
      <c r="K441" s="3"/>
    </row>
    <row r="442" spans="1:25" ht="15.75" customHeight="1">
      <c r="A442" s="5">
        <v>2587</v>
      </c>
      <c r="B442" s="5">
        <v>2522</v>
      </c>
      <c r="I442" s="3"/>
    </row>
    <row r="443" spans="1:25" ht="15.75" customHeight="1">
      <c r="A443" s="7">
        <v>1.65</v>
      </c>
      <c r="B443" s="22">
        <v>5.1849999999999996</v>
      </c>
      <c r="M443" s="3"/>
    </row>
    <row r="444" spans="1:25" ht="15.75" customHeight="1">
      <c r="A444" s="8">
        <f>$B$519</f>
        <v>0.76</v>
      </c>
      <c r="B444" s="8">
        <f>$A$519</f>
        <v>4.93</v>
      </c>
      <c r="C444" s="9">
        <v>500</v>
      </c>
      <c r="H444" s="2"/>
      <c r="Y444" s="3"/>
    </row>
    <row r="445" spans="1:25" ht="15.75" customHeight="1">
      <c r="A445" s="5">
        <f>(A444-A443)*C445</f>
        <v>-444.99999999999994</v>
      </c>
      <c r="B445" s="8">
        <f>C444*(B443-B444)</f>
        <v>127.49999999999994</v>
      </c>
      <c r="C445" s="9">
        <v>500</v>
      </c>
      <c r="E445" s="8">
        <f>A445</f>
        <v>-444.99999999999994</v>
      </c>
      <c r="F445" s="8">
        <f>(B445+A445)</f>
        <v>-317.5</v>
      </c>
      <c r="G445" t="str">
        <f>IF(F445&gt;0, "TRADE","H")</f>
        <v>H</v>
      </c>
      <c r="H445" s="2"/>
      <c r="Y445" s="3"/>
    </row>
    <row r="446" spans="1:25" ht="15.75" customHeight="1">
      <c r="A446" t="s">
        <v>1</v>
      </c>
      <c r="B446" t="s">
        <v>2</v>
      </c>
      <c r="C446" s="6">
        <v>46256</v>
      </c>
      <c r="K446" s="3"/>
    </row>
    <row r="447" spans="1:25" ht="15.75" customHeight="1">
      <c r="A447" s="5">
        <v>2587</v>
      </c>
      <c r="B447" s="5">
        <v>2522</v>
      </c>
      <c r="I447" s="3"/>
    </row>
    <row r="448" spans="1:25" ht="15.75" customHeight="1">
      <c r="A448" s="7">
        <v>1.845</v>
      </c>
      <c r="B448" s="22">
        <v>4.5650000000000004</v>
      </c>
      <c r="M448" s="3"/>
    </row>
    <row r="449" spans="1:25" ht="15.75" customHeight="1">
      <c r="A449" s="8">
        <f>$B$519</f>
        <v>0.76</v>
      </c>
      <c r="B449" s="8">
        <f>$A$519</f>
        <v>4.93</v>
      </c>
      <c r="C449" s="9">
        <v>500</v>
      </c>
      <c r="H449" s="2"/>
      <c r="Y449" s="3"/>
    </row>
    <row r="450" spans="1:25" ht="15.75" customHeight="1">
      <c r="A450" s="5">
        <f>(A449-A448)*C450</f>
        <v>-542.5</v>
      </c>
      <c r="B450" s="8">
        <f>C449*(B448-B449)</f>
        <v>-182.49999999999966</v>
      </c>
      <c r="C450" s="9">
        <v>500</v>
      </c>
      <c r="E450" s="8">
        <f>A450</f>
        <v>-542.5</v>
      </c>
      <c r="F450" s="8">
        <f>(B450+A450)</f>
        <v>-724.99999999999966</v>
      </c>
      <c r="G450" t="str">
        <f>IF(F450&gt;0, "TRADE","H")</f>
        <v>H</v>
      </c>
      <c r="H450" s="2"/>
      <c r="Y450" s="3"/>
    </row>
    <row r="451" spans="1:25" ht="15.75" customHeight="1">
      <c r="A451" t="s">
        <v>1</v>
      </c>
      <c r="B451" t="s">
        <v>2</v>
      </c>
      <c r="C451" s="6">
        <v>46127</v>
      </c>
      <c r="K451" s="3"/>
    </row>
    <row r="452" spans="1:25" ht="15.75" customHeight="1">
      <c r="A452" s="5">
        <v>2587</v>
      </c>
      <c r="B452" s="5">
        <v>2522</v>
      </c>
      <c r="I452" s="3"/>
    </row>
    <row r="453" spans="1:25" ht="15.75" customHeight="1">
      <c r="A453" s="7">
        <v>4.82</v>
      </c>
      <c r="B453" s="22">
        <v>6.57</v>
      </c>
      <c r="M453" s="3"/>
    </row>
    <row r="454" spans="1:25" ht="15.75" customHeight="1">
      <c r="A454" s="8">
        <f>$B$519</f>
        <v>0.76</v>
      </c>
      <c r="B454" s="8">
        <f>$A$519</f>
        <v>4.93</v>
      </c>
      <c r="C454" s="9">
        <v>500</v>
      </c>
      <c r="H454" s="2"/>
      <c r="Y454" s="3"/>
    </row>
    <row r="455" spans="1:25" ht="15.75" customHeight="1">
      <c r="A455" s="5">
        <f>(A454-A453)*C455</f>
        <v>-2030.0000000000002</v>
      </c>
      <c r="B455" s="8">
        <f>C454*(B453-B454)</f>
        <v>820.00000000000023</v>
      </c>
      <c r="C455" s="9">
        <v>500</v>
      </c>
      <c r="E455" s="8">
        <f>A455</f>
        <v>-2030.0000000000002</v>
      </c>
      <c r="F455" s="8">
        <f>(B455+A455)</f>
        <v>-1210</v>
      </c>
      <c r="G455" t="str">
        <f>IF(F455&gt;0, "TRADE","H")</f>
        <v>H</v>
      </c>
      <c r="H455" s="2"/>
      <c r="Y455" s="3"/>
    </row>
    <row r="456" spans="1:25" ht="15.75" customHeight="1">
      <c r="A456" t="s">
        <v>1</v>
      </c>
      <c r="B456" t="s">
        <v>2</v>
      </c>
      <c r="C456" s="6">
        <v>45834</v>
      </c>
      <c r="K456" s="3"/>
    </row>
    <row r="457" spans="1:25" ht="15.75" customHeight="1">
      <c r="A457" s="5">
        <v>2587</v>
      </c>
      <c r="B457" s="5">
        <v>2522</v>
      </c>
      <c r="I457" s="3"/>
    </row>
    <row r="458" spans="1:25" ht="15.75" customHeight="1">
      <c r="A458" s="7">
        <v>4.75</v>
      </c>
      <c r="B458" s="22">
        <v>4.8099999999999996</v>
      </c>
      <c r="M458" s="3"/>
    </row>
    <row r="459" spans="1:25" ht="15.75" customHeight="1">
      <c r="A459" s="8">
        <f>$B$519</f>
        <v>0.76</v>
      </c>
      <c r="B459" s="8">
        <f>$A$519</f>
        <v>4.93</v>
      </c>
      <c r="C459" s="9">
        <v>500</v>
      </c>
      <c r="H459" s="2"/>
      <c r="Y459" s="3"/>
    </row>
    <row r="460" spans="1:25" ht="15.75" customHeight="1">
      <c r="A460" s="5">
        <f>(A459-A458)*C460</f>
        <v>-1995</v>
      </c>
      <c r="B460" s="8">
        <f>C459*(B458-B459)</f>
        <v>-60.000000000000057</v>
      </c>
      <c r="C460" s="9">
        <v>500</v>
      </c>
      <c r="E460" s="8">
        <f>A460</f>
        <v>-1995</v>
      </c>
      <c r="F460" s="8">
        <f>(B460+A460)</f>
        <v>-2055</v>
      </c>
      <c r="G460" t="str">
        <f>IF(F460&gt;0, "TRADE","H")</f>
        <v>H</v>
      </c>
      <c r="H460" s="2"/>
      <c r="Y460" s="3"/>
    </row>
    <row r="461" spans="1:25" ht="15.75" customHeight="1">
      <c r="A461" t="s">
        <v>1</v>
      </c>
      <c r="B461" t="s">
        <v>2</v>
      </c>
      <c r="C461" s="6">
        <v>45834</v>
      </c>
      <c r="K461" s="3"/>
    </row>
    <row r="462" spans="1:25" ht="15.75" customHeight="1">
      <c r="A462" s="5">
        <v>2587</v>
      </c>
      <c r="B462" s="5">
        <v>2522</v>
      </c>
      <c r="I462" s="3"/>
    </row>
    <row r="463" spans="1:25" ht="15.75" customHeight="1">
      <c r="A463" s="7">
        <v>13.54</v>
      </c>
      <c r="B463" s="22">
        <v>13.64</v>
      </c>
      <c r="M463" s="3"/>
    </row>
    <row r="464" spans="1:25" ht="15.75" customHeight="1">
      <c r="A464" s="8">
        <f>$B$519</f>
        <v>0.76</v>
      </c>
      <c r="B464" s="8">
        <f>$A$519</f>
        <v>4.93</v>
      </c>
      <c r="C464" s="9">
        <v>500</v>
      </c>
      <c r="H464" s="2"/>
      <c r="Y464" s="3"/>
    </row>
    <row r="465" spans="1:25" ht="15.75" customHeight="1">
      <c r="A465" s="5">
        <f>(A464-A463)*C465</f>
        <v>-6390</v>
      </c>
      <c r="B465" s="8">
        <f>C464*(B463-B464)</f>
        <v>4355</v>
      </c>
      <c r="C465" s="9">
        <v>500</v>
      </c>
      <c r="E465" s="8">
        <f>A465</f>
        <v>-6390</v>
      </c>
      <c r="F465" s="8">
        <f>(B465+A465)</f>
        <v>-2035</v>
      </c>
      <c r="G465" t="str">
        <f>IF(F465&gt;0, "TRADE","H")</f>
        <v>H</v>
      </c>
      <c r="H465" s="2"/>
      <c r="Y465" s="3"/>
    </row>
    <row r="466" spans="1:25" ht="15.75" customHeight="1">
      <c r="A466" t="s">
        <v>1</v>
      </c>
      <c r="B466" t="s">
        <v>2</v>
      </c>
      <c r="C466" s="6">
        <v>45840</v>
      </c>
      <c r="K466" s="3"/>
    </row>
    <row r="467" spans="1:25" ht="15.75" customHeight="1">
      <c r="A467" s="5">
        <v>2587</v>
      </c>
      <c r="B467" s="5">
        <v>2522</v>
      </c>
      <c r="I467" s="3"/>
    </row>
    <row r="468" spans="1:25" ht="15.75" customHeight="1">
      <c r="A468" s="7">
        <v>16</v>
      </c>
      <c r="B468" s="22">
        <v>14.08</v>
      </c>
      <c r="M468" s="3"/>
    </row>
    <row r="469" spans="1:25" ht="15.75" customHeight="1">
      <c r="A469" s="8">
        <f>$B$519</f>
        <v>0.76</v>
      </c>
      <c r="B469" s="8">
        <f>$A$519</f>
        <v>4.93</v>
      </c>
      <c r="C469" s="9">
        <v>500</v>
      </c>
      <c r="H469" s="2"/>
      <c r="Y469" s="3"/>
    </row>
    <row r="470" spans="1:25" ht="15.75" customHeight="1">
      <c r="A470" s="5">
        <f>(A469-A468)*C470</f>
        <v>-7620</v>
      </c>
      <c r="B470" s="8">
        <f>C469*(B468-B469)</f>
        <v>4575</v>
      </c>
      <c r="C470" s="9">
        <v>500</v>
      </c>
      <c r="E470" s="8">
        <f>A470</f>
        <v>-7620</v>
      </c>
      <c r="F470" s="8">
        <f>(B470+A470)</f>
        <v>-3045</v>
      </c>
      <c r="G470" t="str">
        <f>IF(F470&gt;0, "TRADE","H")</f>
        <v>H</v>
      </c>
      <c r="H470" s="2"/>
      <c r="Y470" s="3"/>
    </row>
    <row r="471" spans="1:25" ht="15.75" customHeight="1">
      <c r="A471" t="s">
        <v>1</v>
      </c>
      <c r="B471" t="s">
        <v>2</v>
      </c>
      <c r="C471" s="6">
        <v>45840</v>
      </c>
      <c r="K471" s="3"/>
    </row>
    <row r="472" spans="1:25" ht="15.75" customHeight="1">
      <c r="A472" s="5">
        <v>2587</v>
      </c>
      <c r="B472" s="5">
        <v>2522</v>
      </c>
      <c r="I472" s="3"/>
    </row>
    <row r="473" spans="1:25" ht="15.75" customHeight="1">
      <c r="A473" s="7">
        <v>15.18</v>
      </c>
      <c r="B473" s="22">
        <v>13.94</v>
      </c>
      <c r="M473" s="3"/>
    </row>
    <row r="474" spans="1:25" ht="15.75" customHeight="1">
      <c r="A474" s="8">
        <f>$B$519</f>
        <v>0.76</v>
      </c>
      <c r="B474" s="8">
        <f>$A$519</f>
        <v>4.93</v>
      </c>
      <c r="C474" s="9">
        <v>500</v>
      </c>
      <c r="H474" s="2"/>
      <c r="Y474" s="3"/>
    </row>
    <row r="475" spans="1:25" ht="15.75" customHeight="1">
      <c r="A475" s="5">
        <f>(A474-A473)*C475</f>
        <v>-7210</v>
      </c>
      <c r="B475" s="8">
        <f>C474*(B473-B474)</f>
        <v>4505</v>
      </c>
      <c r="C475" s="9">
        <v>500</v>
      </c>
      <c r="E475" s="8">
        <f>A475</f>
        <v>-7210</v>
      </c>
      <c r="F475" s="8">
        <f>(B475+A475)</f>
        <v>-2705</v>
      </c>
      <c r="G475" t="str">
        <f>IF(F475&gt;0, "TRADE","H")</f>
        <v>H</v>
      </c>
      <c r="H475" s="2"/>
      <c r="Y475" s="3"/>
    </row>
    <row r="476" spans="1:25" ht="15.75" customHeight="1">
      <c r="A476" t="s">
        <v>1</v>
      </c>
      <c r="B476" t="s">
        <v>2</v>
      </c>
      <c r="C476" s="6">
        <v>45838</v>
      </c>
      <c r="K476" s="3"/>
    </row>
    <row r="477" spans="1:25" ht="15.75" customHeight="1">
      <c r="A477" s="5">
        <v>2587</v>
      </c>
      <c r="B477" s="5">
        <v>2522</v>
      </c>
      <c r="I477" s="3"/>
    </row>
    <row r="478" spans="1:25" ht="15.75" customHeight="1">
      <c r="A478" s="7">
        <v>17.5</v>
      </c>
      <c r="B478" s="22">
        <v>13.6</v>
      </c>
      <c r="M478" s="3"/>
    </row>
    <row r="479" spans="1:25" ht="15.75" customHeight="1">
      <c r="A479" s="8">
        <f>$B$519</f>
        <v>0.76</v>
      </c>
      <c r="B479" s="8">
        <f>$A$519</f>
        <v>4.93</v>
      </c>
      <c r="C479" s="9">
        <v>500</v>
      </c>
      <c r="H479" s="2"/>
      <c r="Y479" s="3"/>
    </row>
    <row r="480" spans="1:25" ht="15.75" customHeight="1">
      <c r="A480" s="5">
        <f>(A479-A478)*C480</f>
        <v>-8370</v>
      </c>
      <c r="B480" s="8">
        <f>C479*(B478-B479)</f>
        <v>4335</v>
      </c>
      <c r="C480" s="9">
        <v>500</v>
      </c>
      <c r="E480" s="8">
        <f>A480</f>
        <v>-8370</v>
      </c>
      <c r="F480" s="8">
        <f>(B480+A480)</f>
        <v>-4035</v>
      </c>
      <c r="G480" t="str">
        <f>IF(F480&gt;0, "TRADE","H")</f>
        <v>H</v>
      </c>
      <c r="H480" s="2"/>
      <c r="Y480" s="3"/>
    </row>
    <row r="481" spans="1:25" ht="15.75" customHeight="1">
      <c r="A481" t="s">
        <v>1</v>
      </c>
      <c r="B481" t="s">
        <v>2</v>
      </c>
      <c r="C481" s="6">
        <v>45838</v>
      </c>
      <c r="K481" s="3"/>
    </row>
    <row r="482" spans="1:25" ht="15.75" customHeight="1">
      <c r="A482" s="5">
        <v>2587</v>
      </c>
      <c r="B482" s="5">
        <v>2522</v>
      </c>
      <c r="I482" s="3"/>
    </row>
    <row r="483" spans="1:25" ht="15.75" customHeight="1">
      <c r="A483" s="7">
        <v>17.36</v>
      </c>
      <c r="B483" s="22">
        <v>14.04</v>
      </c>
      <c r="M483" s="3"/>
    </row>
    <row r="484" spans="1:25" ht="15.75" customHeight="1">
      <c r="A484" s="8">
        <f>$B$519</f>
        <v>0.76</v>
      </c>
      <c r="B484" s="8">
        <f>$A$519</f>
        <v>4.93</v>
      </c>
      <c r="C484" s="9">
        <v>500</v>
      </c>
      <c r="H484" s="2"/>
      <c r="Y484" s="3"/>
    </row>
    <row r="485" spans="1:25" ht="15.75" customHeight="1">
      <c r="A485" s="5">
        <f>(A484-A483)*C485</f>
        <v>-8299.9999999999982</v>
      </c>
      <c r="B485" s="8">
        <f>C484*(B483-B484)</f>
        <v>4555</v>
      </c>
      <c r="C485" s="9">
        <v>500</v>
      </c>
      <c r="E485" s="8">
        <f>A485</f>
        <v>-8299.9999999999982</v>
      </c>
      <c r="F485" s="8">
        <f>(B485+A485)</f>
        <v>-3744.9999999999982</v>
      </c>
      <c r="G485" t="str">
        <f>IF(F485&gt;0, "TRADE","H")</f>
        <v>H</v>
      </c>
      <c r="H485" s="2"/>
      <c r="Y485" s="3"/>
    </row>
    <row r="486" spans="1:25" ht="15.75" customHeight="1">
      <c r="A486" t="s">
        <v>1</v>
      </c>
      <c r="B486" t="s">
        <v>2</v>
      </c>
      <c r="C486" s="6">
        <v>45834</v>
      </c>
      <c r="K486" s="3"/>
    </row>
    <row r="487" spans="1:25" ht="15.75" customHeight="1">
      <c r="A487" s="5">
        <v>2587</v>
      </c>
      <c r="B487" s="5">
        <v>2522</v>
      </c>
      <c r="I487" s="3"/>
    </row>
    <row r="488" spans="1:25" ht="15.75" customHeight="1">
      <c r="A488" s="7">
        <v>18.600000000000001</v>
      </c>
      <c r="B488" s="22">
        <v>13.32</v>
      </c>
      <c r="M488" s="3"/>
    </row>
    <row r="489" spans="1:25" ht="15.75" customHeight="1">
      <c r="A489" s="8">
        <f>$B$519</f>
        <v>0.76</v>
      </c>
      <c r="B489" s="8">
        <f>$A$519</f>
        <v>4.93</v>
      </c>
      <c r="C489" s="9">
        <v>500</v>
      </c>
      <c r="H489" s="2"/>
      <c r="Y489" s="3"/>
    </row>
    <row r="490" spans="1:25" ht="15.75" customHeight="1">
      <c r="A490" s="5">
        <f>(A489-A488)*C490</f>
        <v>-8920</v>
      </c>
      <c r="B490" s="8">
        <f>C489*(B488-B489)</f>
        <v>4195</v>
      </c>
      <c r="C490" s="9">
        <v>500</v>
      </c>
      <c r="E490" s="8">
        <f>A490</f>
        <v>-8920</v>
      </c>
      <c r="F490" s="8">
        <f>(B490+A490)</f>
        <v>-4725</v>
      </c>
      <c r="G490" t="str">
        <f>IF(F490&gt;0, "TRADE","H")</f>
        <v>H</v>
      </c>
      <c r="H490" s="2"/>
      <c r="Y490" s="3"/>
    </row>
    <row r="491" spans="1:25" ht="15.75" customHeight="1">
      <c r="A491" t="s">
        <v>1</v>
      </c>
      <c r="B491" t="s">
        <v>2</v>
      </c>
      <c r="C491" s="6">
        <v>45982</v>
      </c>
      <c r="K491" s="3"/>
    </row>
    <row r="492" spans="1:25" ht="15.75" customHeight="1">
      <c r="A492" s="5">
        <v>2522</v>
      </c>
      <c r="B492" s="5">
        <v>2587</v>
      </c>
      <c r="I492" s="3"/>
    </row>
    <row r="493" spans="1:25" ht="15.75" customHeight="1">
      <c r="A493" s="7">
        <v>15.65</v>
      </c>
      <c r="B493" s="22">
        <v>5.23</v>
      </c>
      <c r="M493" s="3"/>
    </row>
    <row r="494" spans="1:25" ht="15.75" customHeight="1">
      <c r="A494" s="8">
        <f>$A$519</f>
        <v>4.93</v>
      </c>
      <c r="B494" s="8">
        <f>$B$519</f>
        <v>0.76</v>
      </c>
      <c r="C494" s="9">
        <v>500</v>
      </c>
      <c r="H494" s="2"/>
      <c r="Y494" s="3"/>
    </row>
    <row r="495" spans="1:25" ht="15.75" customHeight="1">
      <c r="A495" s="5">
        <f>(A494-A493)*C495</f>
        <v>-5360</v>
      </c>
      <c r="B495" s="8">
        <f>C494*(B493-B494)</f>
        <v>2235.0000000000005</v>
      </c>
      <c r="C495" s="9">
        <v>500</v>
      </c>
      <c r="E495" s="8">
        <f>A495</f>
        <v>-5360</v>
      </c>
      <c r="F495" s="8">
        <f>(B495+A495)</f>
        <v>-3124.9999999999995</v>
      </c>
      <c r="G495" t="str">
        <f>IF(F495&gt;0, "TRADE","H")</f>
        <v>H</v>
      </c>
      <c r="H495" s="2"/>
      <c r="Y495" s="3"/>
    </row>
    <row r="496" spans="1:25" ht="15.75" customHeight="1">
      <c r="A496" t="s">
        <v>1</v>
      </c>
      <c r="B496" t="s">
        <v>2</v>
      </c>
      <c r="C496" s="6">
        <v>45987</v>
      </c>
      <c r="K496" s="3"/>
    </row>
    <row r="497" spans="1:25" ht="15.75" customHeight="1">
      <c r="A497" s="5">
        <v>2522</v>
      </c>
      <c r="B497" s="5">
        <v>2587</v>
      </c>
      <c r="I497" s="3"/>
    </row>
    <row r="498" spans="1:25" ht="15.75" customHeight="1">
      <c r="A498" s="7">
        <v>14.79</v>
      </c>
      <c r="B498" s="22">
        <v>5.31</v>
      </c>
      <c r="M498" s="3"/>
    </row>
    <row r="499" spans="1:25" ht="15.75" customHeight="1">
      <c r="A499" s="8">
        <f>$A$519</f>
        <v>4.93</v>
      </c>
      <c r="B499" s="8">
        <f>$B$519</f>
        <v>0.76</v>
      </c>
      <c r="C499" s="9">
        <v>500</v>
      </c>
      <c r="H499" s="2"/>
      <c r="Y499" s="3"/>
    </row>
    <row r="500" spans="1:25" ht="15.75" customHeight="1">
      <c r="A500" s="5">
        <f>(A499-A498)*C500</f>
        <v>-4930</v>
      </c>
      <c r="B500" s="8">
        <f>C499*(B498-B499)</f>
        <v>2275</v>
      </c>
      <c r="C500" s="9">
        <v>500</v>
      </c>
      <c r="E500" s="8">
        <f>A500</f>
        <v>-4930</v>
      </c>
      <c r="F500" s="8">
        <f>(B500+A500)</f>
        <v>-2655</v>
      </c>
      <c r="G500" t="str">
        <f>IF(F500&gt;0, "TRADE","H")</f>
        <v>H</v>
      </c>
      <c r="H500" s="2"/>
      <c r="Y500" s="3"/>
    </row>
    <row r="501" spans="1:25" ht="15.75" customHeight="1">
      <c r="A501" t="s">
        <v>1</v>
      </c>
      <c r="B501" t="s">
        <v>2</v>
      </c>
      <c r="C501" s="6">
        <v>45988</v>
      </c>
      <c r="K501" s="3"/>
    </row>
    <row r="502" spans="1:25" ht="15.75" customHeight="1">
      <c r="A502" s="5">
        <v>2522</v>
      </c>
      <c r="B502" s="5">
        <v>2587</v>
      </c>
      <c r="I502" s="3"/>
    </row>
    <row r="503" spans="1:25" ht="15.75" customHeight="1">
      <c r="A503" s="7">
        <v>14.36</v>
      </c>
      <c r="B503" s="22">
        <v>5.13</v>
      </c>
      <c r="M503" s="3"/>
    </row>
    <row r="504" spans="1:25" ht="15.75" customHeight="1">
      <c r="A504" s="8">
        <f>$A$519</f>
        <v>4.93</v>
      </c>
      <c r="B504" s="8">
        <f>$B$519</f>
        <v>0.76</v>
      </c>
      <c r="C504" s="9">
        <v>500</v>
      </c>
      <c r="H504" s="2"/>
      <c r="Y504" s="3"/>
    </row>
    <row r="505" spans="1:25" ht="15.75" customHeight="1">
      <c r="A505" s="5">
        <f>(A504-A503)*C505</f>
        <v>-4715</v>
      </c>
      <c r="B505" s="8">
        <f>C504*(B503-B504)</f>
        <v>2185</v>
      </c>
      <c r="C505" s="9">
        <v>500</v>
      </c>
      <c r="E505" s="8">
        <f>A505</f>
        <v>-4715</v>
      </c>
      <c r="F505" s="8">
        <f>(B505+A505)</f>
        <v>-2530</v>
      </c>
      <c r="G505" t="str">
        <f>IF(F505&gt;0, "TRADE","H")</f>
        <v>H</v>
      </c>
      <c r="H505" s="2"/>
      <c r="Y505" s="3"/>
    </row>
    <row r="506" spans="1:25" ht="15.75" customHeight="1">
      <c r="A506" t="s">
        <v>1</v>
      </c>
      <c r="B506" t="s">
        <v>2</v>
      </c>
      <c r="C506" s="6">
        <v>45992</v>
      </c>
      <c r="K506" s="3"/>
    </row>
    <row r="507" spans="1:25" ht="15.75" customHeight="1">
      <c r="A507" s="5">
        <v>2522</v>
      </c>
      <c r="B507" s="5">
        <v>2587</v>
      </c>
      <c r="I507" s="3"/>
    </row>
    <row r="508" spans="1:25" ht="15.75" customHeight="1">
      <c r="A508" s="7">
        <v>13.84</v>
      </c>
      <c r="B508" s="22">
        <v>5.07</v>
      </c>
      <c r="M508" s="3"/>
    </row>
    <row r="509" spans="1:25" ht="15.75" customHeight="1">
      <c r="A509" s="8">
        <f>$A$519</f>
        <v>4.93</v>
      </c>
      <c r="B509" s="8">
        <f>$B$519</f>
        <v>0.76</v>
      </c>
      <c r="C509" s="9">
        <v>500</v>
      </c>
      <c r="H509" s="2"/>
      <c r="Y509" s="3"/>
    </row>
    <row r="510" spans="1:25" ht="15.75" customHeight="1">
      <c r="A510" s="5">
        <f>(A509-A508)*C510</f>
        <v>-4455</v>
      </c>
      <c r="B510" s="8">
        <f>C509*(B508-B509)</f>
        <v>2155.0000000000005</v>
      </c>
      <c r="C510" s="9">
        <v>500</v>
      </c>
      <c r="E510" s="8">
        <f>A510</f>
        <v>-4455</v>
      </c>
      <c r="F510" s="8">
        <f>(B510+A510)</f>
        <v>-2299.9999999999995</v>
      </c>
      <c r="G510" t="str">
        <f>IF(F510&gt;0, "TRADE","H")</f>
        <v>H</v>
      </c>
      <c r="H510" s="2"/>
      <c r="Y510" s="3"/>
    </row>
    <row r="511" spans="1:25" ht="15.75" customHeight="1">
      <c r="A511" t="s">
        <v>1</v>
      </c>
      <c r="B511" t="s">
        <v>2</v>
      </c>
      <c r="C511" s="6">
        <v>45996</v>
      </c>
      <c r="K511" s="3"/>
    </row>
    <row r="512" spans="1:25" ht="15.75" customHeight="1">
      <c r="A512" s="5">
        <v>2522</v>
      </c>
      <c r="B512" s="5">
        <v>2587</v>
      </c>
      <c r="I512" s="3"/>
    </row>
    <row r="513" spans="1:25" ht="15.75" customHeight="1">
      <c r="A513" s="7">
        <v>11.73</v>
      </c>
      <c r="B513" s="22">
        <v>4.4800000000000004</v>
      </c>
      <c r="M513" s="3"/>
    </row>
    <row r="514" spans="1:25" ht="15.75" customHeight="1">
      <c r="A514" s="8">
        <f>$A$519</f>
        <v>4.93</v>
      </c>
      <c r="B514" s="8">
        <f>$B$519</f>
        <v>0.76</v>
      </c>
      <c r="C514" s="9">
        <v>500</v>
      </c>
      <c r="H514" s="2"/>
      <c r="Y514" s="3"/>
    </row>
    <row r="515" spans="1:25" ht="15.75" customHeight="1">
      <c r="A515" s="5">
        <f>(A514-A513)*C515</f>
        <v>-3400.0000000000005</v>
      </c>
      <c r="B515" s="8">
        <f>C514*(B513-B514)</f>
        <v>1860.0000000000002</v>
      </c>
      <c r="C515" s="9">
        <v>500</v>
      </c>
      <c r="E515" s="8">
        <f>A515</f>
        <v>-3400.0000000000005</v>
      </c>
      <c r="F515" s="8">
        <f>(B515+A515)</f>
        <v>-1540.0000000000002</v>
      </c>
      <c r="G515" t="str">
        <f>IF(F515&gt;0, "TRADE","H")</f>
        <v>H</v>
      </c>
      <c r="H515" s="2"/>
      <c r="Y515" s="3"/>
    </row>
    <row r="516" spans="1:25" ht="15.75" customHeight="1">
      <c r="A516" t="s">
        <v>1</v>
      </c>
      <c r="B516" t="s">
        <v>2</v>
      </c>
      <c r="C516" s="6">
        <v>45723</v>
      </c>
      <c r="K516" s="3"/>
    </row>
    <row r="517" spans="1:25" ht="15.75" customHeight="1">
      <c r="A517" s="5">
        <v>2522</v>
      </c>
      <c r="B517" s="5">
        <v>2587</v>
      </c>
      <c r="I517" s="3"/>
    </row>
    <row r="518" spans="1:25" ht="15.75" customHeight="1">
      <c r="A518" s="7">
        <v>37.35</v>
      </c>
      <c r="B518" s="22">
        <v>20.6</v>
      </c>
      <c r="M518" s="3"/>
    </row>
    <row r="519" spans="1:25" ht="15.75" customHeight="1">
      <c r="A519" s="17">
        <f>I412</f>
        <v>4.93</v>
      </c>
      <c r="B519" s="17">
        <f>I411</f>
        <v>0.76</v>
      </c>
      <c r="C519" s="9">
        <v>500</v>
      </c>
      <c r="H519" s="2"/>
      <c r="Y519" s="3"/>
    </row>
    <row r="520" spans="1:25" ht="15.75" customHeight="1">
      <c r="A520" s="5">
        <f>(A519-A518)*C520</f>
        <v>-32420</v>
      </c>
      <c r="B520" s="8">
        <f>C519*(B518-B519)</f>
        <v>9920</v>
      </c>
      <c r="C520" s="9">
        <v>1000</v>
      </c>
      <c r="E520" s="8">
        <f>A520</f>
        <v>-32420</v>
      </c>
      <c r="F520" s="8">
        <f>(B520+A520)</f>
        <v>-22500</v>
      </c>
      <c r="G520" t="str">
        <f>IF(F520&gt;0, "TRADE","H")</f>
        <v>H</v>
      </c>
      <c r="H520" s="2"/>
      <c r="Y520" s="3"/>
    </row>
    <row r="521" spans="1:25" ht="15.75" customHeight="1" thickBot="1">
      <c r="A521" s="5"/>
      <c r="B521" s="8"/>
      <c r="E521" s="8"/>
      <c r="V521" s="3"/>
    </row>
    <row r="522" spans="1:25" ht="15.75" customHeight="1" thickTop="1">
      <c r="A522" t="s">
        <v>1</v>
      </c>
      <c r="B522" t="s">
        <v>2</v>
      </c>
      <c r="C522" s="6">
        <v>45573</v>
      </c>
      <c r="H522" s="2">
        <f>(I522-K522)/K522-$D$3</f>
        <v>0.81506302103264405</v>
      </c>
      <c r="I522" s="13">
        <v>28.3</v>
      </c>
      <c r="J522" s="14">
        <v>600089</v>
      </c>
      <c r="K522">
        <v>15.89</v>
      </c>
      <c r="W522" s="3"/>
    </row>
    <row r="523" spans="1:25" ht="15.75" customHeight="1" thickBot="1">
      <c r="A523" s="5">
        <v>600089</v>
      </c>
      <c r="B523" s="5"/>
      <c r="H523" s="2"/>
      <c r="I523" s="15"/>
      <c r="J523" s="16"/>
      <c r="W523" s="3"/>
    </row>
    <row r="524" spans="1:25" ht="15.75" customHeight="1" thickTop="1">
      <c r="A524" s="7">
        <v>15.89</v>
      </c>
      <c r="B524" s="5"/>
      <c r="H524" s="2"/>
      <c r="Y524" s="3"/>
    </row>
    <row r="525" spans="1:25" ht="15.75" customHeight="1">
      <c r="A525" s="17">
        <f>I522</f>
        <v>28.3</v>
      </c>
      <c r="B525" s="8"/>
      <c r="C525" s="9"/>
      <c r="H525" s="2"/>
      <c r="Y525" s="3"/>
    </row>
    <row r="526" spans="1:25" ht="15.75" customHeight="1">
      <c r="A526" s="5">
        <f>(A525-A524)*C526</f>
        <v>18615</v>
      </c>
      <c r="B526" s="5"/>
      <c r="C526" s="9">
        <v>1500</v>
      </c>
      <c r="E526" s="8">
        <f>A526</f>
        <v>18615</v>
      </c>
      <c r="F526" s="5">
        <f>(B526+A526)</f>
        <v>18615</v>
      </c>
      <c r="G526" t="str">
        <f>IF(F526&gt;0, "TRADE","H")</f>
        <v>TRADE</v>
      </c>
      <c r="H526" s="2"/>
      <c r="Y526" s="3"/>
    </row>
    <row r="527" spans="1:25" ht="15.75" customHeight="1">
      <c r="A527" t="s">
        <v>1</v>
      </c>
      <c r="B527" t="s">
        <v>2</v>
      </c>
      <c r="C527" s="6">
        <v>45699</v>
      </c>
      <c r="S527" s="3"/>
    </row>
    <row r="528" spans="1:25" ht="15.75" customHeight="1">
      <c r="A528" s="5">
        <v>600089</v>
      </c>
      <c r="B528" s="5"/>
      <c r="S528" s="3"/>
    </row>
    <row r="529" spans="1:26" ht="15.75" customHeight="1">
      <c r="A529" s="7">
        <v>12.28</v>
      </c>
      <c r="B529" s="5"/>
      <c r="U529" s="3"/>
    </row>
    <row r="530" spans="1:26" ht="15.75" customHeight="1">
      <c r="A530" s="8">
        <f>A525</f>
        <v>28.3</v>
      </c>
      <c r="B530" s="8"/>
      <c r="C530" s="9"/>
      <c r="H530" s="2"/>
      <c r="Y530" s="3"/>
    </row>
    <row r="531" spans="1:26" ht="15.75" customHeight="1" thickBot="1">
      <c r="A531" s="5">
        <f>(A530-A529)*C531</f>
        <v>11214.000000000002</v>
      </c>
      <c r="B531" s="5"/>
      <c r="C531" s="9">
        <v>700</v>
      </c>
      <c r="E531" s="8">
        <f>A531</f>
        <v>11214.000000000002</v>
      </c>
      <c r="F531" s="5">
        <f>(B531+A531)</f>
        <v>11214.000000000002</v>
      </c>
      <c r="G531" t="str">
        <f>IF(F531&gt;0, "TRADE","H")</f>
        <v>TRADE</v>
      </c>
      <c r="H531" s="2"/>
      <c r="Y531" s="3"/>
    </row>
    <row r="532" spans="1:26" ht="15.75" customHeight="1" thickTop="1" thickBot="1">
      <c r="A532" t="s">
        <v>1</v>
      </c>
      <c r="B532" t="s">
        <v>2</v>
      </c>
      <c r="C532" s="6">
        <v>45621</v>
      </c>
      <c r="H532" s="2">
        <f>(I532-K532)/K532-$D$3</f>
        <v>0.89154807248695167</v>
      </c>
      <c r="I532" s="13">
        <v>157.69999999999999</v>
      </c>
      <c r="J532" s="14">
        <v>9880</v>
      </c>
      <c r="K532">
        <v>84.9</v>
      </c>
      <c r="M532" s="3"/>
      <c r="O532" s="3"/>
    </row>
    <row r="533" spans="1:26" ht="15.75" customHeight="1" thickTop="1" thickBot="1">
      <c r="A533" s="5">
        <v>9880</v>
      </c>
      <c r="B533" s="5"/>
      <c r="H533" s="2"/>
      <c r="I533" s="13"/>
      <c r="J533" s="16"/>
    </row>
    <row r="534" spans="1:26" ht="15.75" customHeight="1" thickTop="1">
      <c r="A534" s="7">
        <v>84.9</v>
      </c>
      <c r="B534" s="5"/>
      <c r="H534" s="2">
        <f>H532-H533</f>
        <v>0.89154807248695167</v>
      </c>
      <c r="Q534" s="3"/>
    </row>
    <row r="535" spans="1:26" ht="15.75" customHeight="1">
      <c r="A535" s="17">
        <f>I532</f>
        <v>157.69999999999999</v>
      </c>
      <c r="B535" s="17"/>
      <c r="C535" s="9"/>
      <c r="H535" s="2"/>
      <c r="Y535" s="3"/>
    </row>
    <row r="536" spans="1:26" ht="15.75" customHeight="1">
      <c r="A536" s="5">
        <f>(A535-A534)*C536</f>
        <v>21839.999999999996</v>
      </c>
      <c r="B536" s="8"/>
      <c r="C536" s="9">
        <v>300</v>
      </c>
      <c r="E536" s="8">
        <f>A536</f>
        <v>21839.999999999996</v>
      </c>
      <c r="F536" s="8">
        <f>(B536+A536)</f>
        <v>21839.999999999996</v>
      </c>
      <c r="G536" t="str">
        <f>IF(F536&gt;0, "TRADE","H")</f>
        <v>TRADE</v>
      </c>
      <c r="H536" s="2"/>
      <c r="Y536" s="3"/>
    </row>
    <row r="537" spans="1:26" ht="15.75" customHeight="1">
      <c r="A537" t="s">
        <v>1</v>
      </c>
      <c r="B537" t="s">
        <v>2</v>
      </c>
      <c r="C537" s="6">
        <v>45621</v>
      </c>
      <c r="K537" s="3"/>
    </row>
    <row r="538" spans="1:26" ht="15.75" customHeight="1">
      <c r="A538" s="5">
        <v>9880</v>
      </c>
      <c r="B538" s="5"/>
      <c r="I538" s="3"/>
      <c r="M538" s="3"/>
    </row>
    <row r="539" spans="1:26" ht="15.75" customHeight="1">
      <c r="A539" s="7">
        <v>83.75</v>
      </c>
      <c r="B539" s="5"/>
    </row>
    <row r="540" spans="1:26" ht="15.75" customHeight="1">
      <c r="A540" s="8">
        <f>A535</f>
        <v>157.69999999999999</v>
      </c>
      <c r="B540" s="17"/>
      <c r="C540" s="9"/>
      <c r="H540" s="2"/>
      <c r="Y540" s="3"/>
    </row>
    <row r="541" spans="1:26" ht="15.75" customHeight="1">
      <c r="A541" s="5">
        <f>(A540-A539)*C541</f>
        <v>22184.999999999996</v>
      </c>
      <c r="B541" s="8"/>
      <c r="C541" s="9">
        <v>300</v>
      </c>
      <c r="E541" s="8">
        <f>A541</f>
        <v>22184.999999999996</v>
      </c>
      <c r="F541" s="8">
        <f>(B541+A541)</f>
        <v>22184.999999999996</v>
      </c>
      <c r="G541" t="str">
        <f>IF(F541&gt;0, "TRADE","H")</f>
        <v>TRADE</v>
      </c>
      <c r="H541" s="2"/>
      <c r="Y541" s="3"/>
    </row>
    <row r="542" spans="1:26" ht="15.75" customHeight="1">
      <c r="A542" t="s">
        <v>1</v>
      </c>
      <c r="B542" t="s">
        <v>2</v>
      </c>
      <c r="C542" s="19">
        <v>45656</v>
      </c>
      <c r="H542" s="2"/>
      <c r="Z542" s="3"/>
    </row>
    <row r="543" spans="1:26" ht="15.75" customHeight="1">
      <c r="A543" s="5">
        <v>9880</v>
      </c>
      <c r="B543" s="5" t="s">
        <v>14</v>
      </c>
      <c r="H543" s="2"/>
      <c r="Z543" s="3"/>
    </row>
    <row r="544" spans="1:26" ht="15.75" customHeight="1">
      <c r="A544" s="20">
        <v>77.650000000000006</v>
      </c>
      <c r="B544" s="21">
        <v>84.7</v>
      </c>
      <c r="H544" s="2"/>
      <c r="Z544" s="3"/>
    </row>
    <row r="545" spans="1:26" ht="15.75" customHeight="1">
      <c r="A545" s="8">
        <f>A535</f>
        <v>157.69999999999999</v>
      </c>
      <c r="B545" s="8" t="e">
        <f>#REF!</f>
        <v>#REF!</v>
      </c>
      <c r="C545" s="24">
        <v>300</v>
      </c>
      <c r="D545" t="s">
        <v>0</v>
      </c>
      <c r="H545" s="2"/>
      <c r="Z545" s="3"/>
    </row>
    <row r="546" spans="1:26" ht="15.75" customHeight="1">
      <c r="A546" s="5">
        <f>(A545-A544)*C546</f>
        <v>24014.999999999996</v>
      </c>
      <c r="B546" s="5"/>
      <c r="C546" s="24">
        <v>300</v>
      </c>
      <c r="D546" t="s">
        <v>10</v>
      </c>
      <c r="E546" s="8">
        <f>A546</f>
        <v>24014.999999999996</v>
      </c>
      <c r="F546" s="5">
        <f>(B546+A546)</f>
        <v>24014.999999999996</v>
      </c>
      <c r="G546" t="str">
        <f>IF(F546&gt;0, "TRADE","H")</f>
        <v>TRADE</v>
      </c>
      <c r="H546" s="2"/>
      <c r="Z546" s="3"/>
    </row>
    <row r="547" spans="1:26" ht="15.75" customHeight="1">
      <c r="A547" t="s">
        <v>1</v>
      </c>
      <c r="B547" t="s">
        <v>2</v>
      </c>
      <c r="C547" s="19">
        <v>45656</v>
      </c>
      <c r="H547" s="2"/>
      <c r="Z547" s="3"/>
    </row>
    <row r="548" spans="1:26" ht="15.75" customHeight="1">
      <c r="A548" s="5">
        <v>9880</v>
      </c>
      <c r="B548" s="5" t="s">
        <v>14</v>
      </c>
      <c r="H548" s="2"/>
      <c r="Z548" s="3"/>
    </row>
    <row r="549" spans="1:26" ht="15.75" customHeight="1">
      <c r="A549" s="20">
        <v>73.349999999999994</v>
      </c>
      <c r="B549" s="21">
        <v>83.9</v>
      </c>
      <c r="H549" s="2"/>
      <c r="Z549" s="3"/>
    </row>
    <row r="550" spans="1:26" ht="15.75" customHeight="1">
      <c r="A550" s="8">
        <f>A535</f>
        <v>157.69999999999999</v>
      </c>
      <c r="B550" s="8" t="e">
        <f>#REF!</f>
        <v>#REF!</v>
      </c>
      <c r="C550" s="24">
        <v>300</v>
      </c>
      <c r="D550" t="s">
        <v>0</v>
      </c>
      <c r="H550" s="2"/>
      <c r="Z550" s="3"/>
    </row>
    <row r="551" spans="1:26" ht="15.75" customHeight="1">
      <c r="A551" s="5">
        <f>(A550-A549)*C551</f>
        <v>25305</v>
      </c>
      <c r="B551" s="5"/>
      <c r="C551" s="24">
        <v>300</v>
      </c>
      <c r="D551" t="s">
        <v>10</v>
      </c>
      <c r="E551" s="8">
        <f>A551</f>
        <v>25305</v>
      </c>
      <c r="F551" s="5">
        <f>(B551+A551)</f>
        <v>25305</v>
      </c>
      <c r="G551" t="str">
        <f>IF(F551&gt;0, "TRADE","H")</f>
        <v>TRADE</v>
      </c>
      <c r="H551" s="2"/>
      <c r="Z551" s="3"/>
    </row>
    <row r="552" spans="1:26" ht="15.75" customHeight="1">
      <c r="A552" s="1"/>
      <c r="B552" s="8"/>
      <c r="H552" s="2"/>
      <c r="U552" s="5"/>
      <c r="V552" s="5"/>
      <c r="W552" s="5"/>
      <c r="X552" s="5"/>
      <c r="Y552" s="5"/>
      <c r="Z552" s="3"/>
    </row>
    <row r="553" spans="1:26" ht="15.75" customHeight="1">
      <c r="A553" s="1"/>
      <c r="B553" s="8"/>
      <c r="G553" s="5"/>
      <c r="H553" s="2"/>
      <c r="Z553" s="3"/>
    </row>
  </sheetData>
  <phoneticPr fontId="5" type="noConversion"/>
  <conditionalFormatting sqref="H281:H282 H266:H267">
    <cfRule type="expression" dxfId="1809" priority="27222">
      <formula>H266&lt;($D$3-6%)</formula>
    </cfRule>
  </conditionalFormatting>
  <conditionalFormatting sqref="H281:H282 H266:H267">
    <cfRule type="expression" dxfId="1808" priority="27223">
      <formula>H266&gt;($D$3+6%)</formula>
    </cfRule>
  </conditionalFormatting>
  <conditionalFormatting sqref="H281:H282 H266:H267">
    <cfRule type="expression" dxfId="1807" priority="27224">
      <formula>H266&lt;($D$3-3%)</formula>
    </cfRule>
  </conditionalFormatting>
  <conditionalFormatting sqref="H281:H282 H266:H267">
    <cfRule type="expression" dxfId="1806" priority="27225">
      <formula>H266&gt;($D$3+3%)</formula>
    </cfRule>
  </conditionalFormatting>
  <conditionalFormatting sqref="H271:H272">
    <cfRule type="expression" dxfId="1805" priority="27230">
      <formula>H271&lt;($D$3-6%)</formula>
    </cfRule>
  </conditionalFormatting>
  <conditionalFormatting sqref="H271:H272">
    <cfRule type="expression" dxfId="1804" priority="27231">
      <formula>H271&gt;($D$3+6%)</formula>
    </cfRule>
  </conditionalFormatting>
  <conditionalFormatting sqref="H271:H272">
    <cfRule type="expression" dxfId="1803" priority="27232">
      <formula>H271&lt;($D$3-3%)</formula>
    </cfRule>
  </conditionalFormatting>
  <conditionalFormatting sqref="H271:H272">
    <cfRule type="expression" dxfId="1802" priority="27233">
      <formula>H271&gt;($D$3+3%)</formula>
    </cfRule>
  </conditionalFormatting>
  <conditionalFormatting sqref="F275">
    <cfRule type="cellIs" dxfId="1801" priority="27352" operator="greaterThanOrEqual">
      <formula>0</formula>
    </cfRule>
  </conditionalFormatting>
  <conditionalFormatting sqref="F275">
    <cfRule type="cellIs" dxfId="1800" priority="27353" operator="lessThan">
      <formula>-4100</formula>
    </cfRule>
  </conditionalFormatting>
  <conditionalFormatting sqref="F275">
    <cfRule type="cellIs" dxfId="1799" priority="27354" operator="greaterThanOrEqual">
      <formula>0</formula>
    </cfRule>
  </conditionalFormatting>
  <conditionalFormatting sqref="F275">
    <cfRule type="cellIs" dxfId="1798" priority="27355" operator="lessThan">
      <formula>-4100</formula>
    </cfRule>
  </conditionalFormatting>
  <conditionalFormatting sqref="F275">
    <cfRule type="cellIs" dxfId="1797" priority="27356" operator="greaterThanOrEqual">
      <formula>0</formula>
    </cfRule>
  </conditionalFormatting>
  <conditionalFormatting sqref="F275">
    <cfRule type="cellIs" dxfId="1796" priority="27357" operator="lessThan">
      <formula>-4100</formula>
    </cfRule>
  </conditionalFormatting>
  <conditionalFormatting sqref="F275">
    <cfRule type="cellIs" dxfId="1795" priority="27358" operator="lessThan">
      <formula>-4100</formula>
    </cfRule>
  </conditionalFormatting>
  <conditionalFormatting sqref="F275">
    <cfRule type="cellIs" dxfId="1794" priority="27359" operator="greaterThanOrEqual">
      <formula>0</formula>
    </cfRule>
  </conditionalFormatting>
  <conditionalFormatting sqref="F275">
    <cfRule type="cellIs" dxfId="1793" priority="27360" operator="greaterThanOrEqual">
      <formula>0</formula>
    </cfRule>
  </conditionalFormatting>
  <conditionalFormatting sqref="F275">
    <cfRule type="cellIs" dxfId="1792" priority="27361" operator="lessThan">
      <formula>-4100</formula>
    </cfRule>
  </conditionalFormatting>
  <conditionalFormatting sqref="F275">
    <cfRule type="cellIs" dxfId="1791" priority="27362" operator="greaterThanOrEqual">
      <formula>0</formula>
    </cfRule>
  </conditionalFormatting>
  <conditionalFormatting sqref="F275">
    <cfRule type="cellIs" dxfId="1790" priority="27363" operator="lessThan">
      <formula>-4100</formula>
    </cfRule>
  </conditionalFormatting>
  <conditionalFormatting sqref="F275">
    <cfRule type="cellIs" dxfId="1789" priority="27364" operator="greaterThanOrEqual">
      <formula>0</formula>
    </cfRule>
  </conditionalFormatting>
  <conditionalFormatting sqref="F275">
    <cfRule type="cellIs" dxfId="1788" priority="27365" operator="lessThan">
      <formula>-4100</formula>
    </cfRule>
  </conditionalFormatting>
  <conditionalFormatting sqref="F275">
    <cfRule type="cellIs" dxfId="1787" priority="27366" operator="greaterThanOrEqual">
      <formula>0</formula>
    </cfRule>
  </conditionalFormatting>
  <conditionalFormatting sqref="F275">
    <cfRule type="cellIs" dxfId="1786" priority="27367" operator="lessThan">
      <formula>-4100</formula>
    </cfRule>
  </conditionalFormatting>
  <conditionalFormatting sqref="E275 E250">
    <cfRule type="cellIs" dxfId="1785" priority="27368" operator="greaterThan">
      <formula>0</formula>
    </cfRule>
  </conditionalFormatting>
  <conditionalFormatting sqref="F270">
    <cfRule type="cellIs" dxfId="1784" priority="27369" operator="lessThan">
      <formula>-4100</formula>
    </cfRule>
  </conditionalFormatting>
  <conditionalFormatting sqref="F270">
    <cfRule type="cellIs" dxfId="1783" priority="27370" operator="greaterThanOrEqual">
      <formula>0</formula>
    </cfRule>
  </conditionalFormatting>
  <conditionalFormatting sqref="E270">
    <cfRule type="cellIs" dxfId="1782" priority="27371" operator="greaterThan">
      <formula>0</formula>
    </cfRule>
  </conditionalFormatting>
  <conditionalFormatting sqref="F270">
    <cfRule type="cellIs" dxfId="1781" priority="27372" operator="greaterThanOrEqual">
      <formula>0</formula>
    </cfRule>
  </conditionalFormatting>
  <conditionalFormatting sqref="F270">
    <cfRule type="cellIs" dxfId="1780" priority="27373" operator="lessThan">
      <formula>-4100</formula>
    </cfRule>
  </conditionalFormatting>
  <conditionalFormatting sqref="F270">
    <cfRule type="cellIs" dxfId="1779" priority="27374" operator="greaterThanOrEqual">
      <formula>0</formula>
    </cfRule>
  </conditionalFormatting>
  <conditionalFormatting sqref="F270">
    <cfRule type="cellIs" dxfId="1778" priority="27375" operator="lessThan">
      <formula>-4100</formula>
    </cfRule>
  </conditionalFormatting>
  <conditionalFormatting sqref="F270">
    <cfRule type="cellIs" dxfId="1777" priority="27376" operator="lessThan">
      <formula>-4100</formula>
    </cfRule>
  </conditionalFormatting>
  <conditionalFormatting sqref="F270">
    <cfRule type="cellIs" dxfId="1776" priority="27377" operator="greaterThanOrEqual">
      <formula>0</formula>
    </cfRule>
  </conditionalFormatting>
  <conditionalFormatting sqref="F270">
    <cfRule type="cellIs" dxfId="1775" priority="27378" operator="greaterThanOrEqual">
      <formula>0</formula>
    </cfRule>
  </conditionalFormatting>
  <conditionalFormatting sqref="F270">
    <cfRule type="cellIs" dxfId="1774" priority="27379" operator="lessThan">
      <formula>-4100</formula>
    </cfRule>
  </conditionalFormatting>
  <conditionalFormatting sqref="F270">
    <cfRule type="cellIs" dxfId="1773" priority="27380" operator="greaterThanOrEqual">
      <formula>0</formula>
    </cfRule>
  </conditionalFormatting>
  <conditionalFormatting sqref="F270">
    <cfRule type="cellIs" dxfId="1772" priority="27381" operator="lessThan">
      <formula>-4100</formula>
    </cfRule>
  </conditionalFormatting>
  <conditionalFormatting sqref="F270">
    <cfRule type="cellIs" dxfId="1771" priority="27382" operator="greaterThanOrEqual">
      <formula>0</formula>
    </cfRule>
  </conditionalFormatting>
  <conditionalFormatting sqref="F270">
    <cfRule type="cellIs" dxfId="1770" priority="27383" operator="lessThan">
      <formula>-4100</formula>
    </cfRule>
  </conditionalFormatting>
  <conditionalFormatting sqref="F270">
    <cfRule type="cellIs" dxfId="1769" priority="27384" operator="lessThan">
      <formula>-4100</formula>
    </cfRule>
  </conditionalFormatting>
  <conditionalFormatting sqref="F270">
    <cfRule type="cellIs" dxfId="1768" priority="27385" operator="greaterThanOrEqual">
      <formula>0</formula>
    </cfRule>
  </conditionalFormatting>
  <conditionalFormatting sqref="F280">
    <cfRule type="cellIs" dxfId="1767" priority="27386" operator="greaterThanOrEqual">
      <formula>0</formula>
    </cfRule>
  </conditionalFormatting>
  <conditionalFormatting sqref="F280">
    <cfRule type="cellIs" dxfId="1766" priority="27387" operator="lessThan">
      <formula>-4100</formula>
    </cfRule>
  </conditionalFormatting>
  <conditionalFormatting sqref="F280">
    <cfRule type="cellIs" dxfId="1765" priority="27388" operator="greaterThanOrEqual">
      <formula>0</formula>
    </cfRule>
  </conditionalFormatting>
  <conditionalFormatting sqref="F280">
    <cfRule type="cellIs" dxfId="1764" priority="27389" operator="lessThan">
      <formula>-4100</formula>
    </cfRule>
  </conditionalFormatting>
  <conditionalFormatting sqref="F280">
    <cfRule type="cellIs" dxfId="1763" priority="27390" operator="greaterThanOrEqual">
      <formula>0</formula>
    </cfRule>
  </conditionalFormatting>
  <conditionalFormatting sqref="F280">
    <cfRule type="cellIs" dxfId="1762" priority="27391" operator="lessThan">
      <formula>-4100</formula>
    </cfRule>
  </conditionalFormatting>
  <conditionalFormatting sqref="F280">
    <cfRule type="cellIs" dxfId="1761" priority="27392" operator="lessThan">
      <formula>-4100</formula>
    </cfRule>
  </conditionalFormatting>
  <conditionalFormatting sqref="F280">
    <cfRule type="cellIs" dxfId="1760" priority="27393" operator="greaterThanOrEqual">
      <formula>0</formula>
    </cfRule>
  </conditionalFormatting>
  <conditionalFormatting sqref="F280">
    <cfRule type="cellIs" dxfId="1759" priority="27394" operator="greaterThanOrEqual">
      <formula>0</formula>
    </cfRule>
  </conditionalFormatting>
  <conditionalFormatting sqref="F280">
    <cfRule type="cellIs" dxfId="1758" priority="27395" operator="lessThan">
      <formula>-4100</formula>
    </cfRule>
  </conditionalFormatting>
  <conditionalFormatting sqref="F280">
    <cfRule type="cellIs" dxfId="1757" priority="27396" operator="greaterThanOrEqual">
      <formula>0</formula>
    </cfRule>
  </conditionalFormatting>
  <conditionalFormatting sqref="F280">
    <cfRule type="cellIs" dxfId="1756" priority="27397" operator="lessThan">
      <formula>-4100</formula>
    </cfRule>
  </conditionalFormatting>
  <conditionalFormatting sqref="F280">
    <cfRule type="cellIs" dxfId="1755" priority="27398" operator="greaterThanOrEqual">
      <formula>0</formula>
    </cfRule>
  </conditionalFormatting>
  <conditionalFormatting sqref="F280">
    <cfRule type="cellIs" dxfId="1754" priority="27399" operator="lessThan">
      <formula>-4100</formula>
    </cfRule>
  </conditionalFormatting>
  <conditionalFormatting sqref="F280">
    <cfRule type="cellIs" dxfId="1753" priority="27400" operator="greaterThanOrEqual">
      <formula>0</formula>
    </cfRule>
  </conditionalFormatting>
  <conditionalFormatting sqref="F280">
    <cfRule type="cellIs" dxfId="1752" priority="27401" operator="lessThan">
      <formula>-4100</formula>
    </cfRule>
  </conditionalFormatting>
  <conditionalFormatting sqref="E280">
    <cfRule type="cellIs" dxfId="1751" priority="27402" operator="greaterThan">
      <formula>0</formula>
    </cfRule>
  </conditionalFormatting>
  <conditionalFormatting sqref="H250">
    <cfRule type="expression" dxfId="1750" priority="27492">
      <formula>H250&lt;($D$3-6%)</formula>
    </cfRule>
  </conditionalFormatting>
  <conditionalFormatting sqref="H250">
    <cfRule type="expression" dxfId="1749" priority="27493">
      <formula>H250&gt;($D$3+6%)</formula>
    </cfRule>
  </conditionalFormatting>
  <conditionalFormatting sqref="H250">
    <cfRule type="expression" dxfId="1748" priority="27494">
      <formula>H250&lt;($D$3-3%)</formula>
    </cfRule>
  </conditionalFormatting>
  <conditionalFormatting sqref="H250">
    <cfRule type="expression" dxfId="1747" priority="27495">
      <formula>H250&gt;($D$3+3%)</formula>
    </cfRule>
  </conditionalFormatting>
  <conditionalFormatting sqref="H251">
    <cfRule type="expression" dxfId="1746" priority="27496">
      <formula>H251&lt;($D$3-6%)</formula>
    </cfRule>
  </conditionalFormatting>
  <conditionalFormatting sqref="H251">
    <cfRule type="expression" dxfId="1745" priority="27497">
      <formula>H251&gt;($D$3+6%)</formula>
    </cfRule>
  </conditionalFormatting>
  <conditionalFormatting sqref="H251">
    <cfRule type="expression" dxfId="1744" priority="27498">
      <formula>H251&lt;($D$3-3%)</formula>
    </cfRule>
  </conditionalFormatting>
  <conditionalFormatting sqref="H251">
    <cfRule type="expression" dxfId="1743" priority="27499">
      <formula>H251&gt;($D$3+3%)</formula>
    </cfRule>
  </conditionalFormatting>
  <conditionalFormatting sqref="F255">
    <cfRule type="cellIs" dxfId="1742" priority="27639" operator="lessThan">
      <formula>-4100</formula>
    </cfRule>
  </conditionalFormatting>
  <conditionalFormatting sqref="F255">
    <cfRule type="cellIs" dxfId="1741" priority="27640" operator="greaterThanOrEqual">
      <formula>0</formula>
    </cfRule>
  </conditionalFormatting>
  <conditionalFormatting sqref="F255">
    <cfRule type="cellIs" dxfId="1740" priority="27641" operator="greaterThanOrEqual">
      <formula>0</formula>
    </cfRule>
  </conditionalFormatting>
  <conditionalFormatting sqref="F255">
    <cfRule type="cellIs" dxfId="1739" priority="27642" operator="lessThan">
      <formula>-4100</formula>
    </cfRule>
  </conditionalFormatting>
  <conditionalFormatting sqref="F255">
    <cfRule type="cellIs" dxfId="1738" priority="27643" operator="greaterThanOrEqual">
      <formula>0</formula>
    </cfRule>
  </conditionalFormatting>
  <conditionalFormatting sqref="F255">
    <cfRule type="cellIs" dxfId="1737" priority="27644" operator="lessThan">
      <formula>-4100</formula>
    </cfRule>
  </conditionalFormatting>
  <conditionalFormatting sqref="F255">
    <cfRule type="cellIs" dxfId="1736" priority="27645" operator="greaterThanOrEqual">
      <formula>0</formula>
    </cfRule>
  </conditionalFormatting>
  <conditionalFormatting sqref="F255">
    <cfRule type="cellIs" dxfId="1735" priority="27646" operator="lessThan">
      <formula>-4100</formula>
    </cfRule>
  </conditionalFormatting>
  <conditionalFormatting sqref="F255">
    <cfRule type="cellIs" dxfId="1734" priority="27647" operator="greaterThanOrEqual">
      <formula>0</formula>
    </cfRule>
  </conditionalFormatting>
  <conditionalFormatting sqref="F255">
    <cfRule type="cellIs" dxfId="1733" priority="27648" operator="lessThan">
      <formula>-4100</formula>
    </cfRule>
  </conditionalFormatting>
  <conditionalFormatting sqref="F255">
    <cfRule type="cellIs" dxfId="1732" priority="27649" operator="lessThan">
      <formula>-4100</formula>
    </cfRule>
  </conditionalFormatting>
  <conditionalFormatting sqref="F255">
    <cfRule type="cellIs" dxfId="1731" priority="27650" operator="greaterThanOrEqual">
      <formula>0</formula>
    </cfRule>
  </conditionalFormatting>
  <conditionalFormatting sqref="F255">
    <cfRule type="cellIs" dxfId="1730" priority="27651" operator="greaterThanOrEqual">
      <formula>0</formula>
    </cfRule>
  </conditionalFormatting>
  <conditionalFormatting sqref="F255">
    <cfRule type="cellIs" dxfId="1729" priority="27652" operator="lessThan">
      <formula>-4100</formula>
    </cfRule>
  </conditionalFormatting>
  <conditionalFormatting sqref="F255">
    <cfRule type="cellIs" dxfId="1728" priority="27653" operator="greaterThanOrEqual">
      <formula>0</formula>
    </cfRule>
  </conditionalFormatting>
  <conditionalFormatting sqref="F255">
    <cfRule type="cellIs" dxfId="1727" priority="27654" operator="lessThan">
      <formula>-4100</formula>
    </cfRule>
  </conditionalFormatting>
  <conditionalFormatting sqref="E255">
    <cfRule type="cellIs" dxfId="1726" priority="27655" operator="greaterThan">
      <formula>0</formula>
    </cfRule>
  </conditionalFormatting>
  <conditionalFormatting sqref="F526">
    <cfRule type="cellIs" dxfId="1725" priority="24582" operator="greaterThanOrEqual">
      <formula>0</formula>
    </cfRule>
  </conditionalFormatting>
  <conditionalFormatting sqref="F526">
    <cfRule type="cellIs" dxfId="1724" priority="24583" operator="lessThan">
      <formula>-4100</formula>
    </cfRule>
  </conditionalFormatting>
  <conditionalFormatting sqref="F526">
    <cfRule type="cellIs" dxfId="1723" priority="24584" operator="greaterThanOrEqual">
      <formula>0</formula>
    </cfRule>
  </conditionalFormatting>
  <conditionalFormatting sqref="F526">
    <cfRule type="cellIs" dxfId="1722" priority="24585" operator="lessThan">
      <formula>-4100</formula>
    </cfRule>
  </conditionalFormatting>
  <conditionalFormatting sqref="F526">
    <cfRule type="cellIs" dxfId="1721" priority="24586" operator="greaterThanOrEqual">
      <formula>0</formula>
    </cfRule>
  </conditionalFormatting>
  <conditionalFormatting sqref="F526">
    <cfRule type="cellIs" dxfId="1720" priority="24587" operator="lessThan">
      <formula>-4100</formula>
    </cfRule>
  </conditionalFormatting>
  <conditionalFormatting sqref="F526">
    <cfRule type="cellIs" dxfId="1719" priority="24588" operator="greaterThanOrEqual">
      <formula>0</formula>
    </cfRule>
  </conditionalFormatting>
  <conditionalFormatting sqref="F526">
    <cfRule type="cellIs" dxfId="1718" priority="24589" operator="lessThan">
      <formula>-4100</formula>
    </cfRule>
  </conditionalFormatting>
  <conditionalFormatting sqref="F526">
    <cfRule type="cellIs" dxfId="1717" priority="24590" operator="greaterThanOrEqual">
      <formula>0</formula>
    </cfRule>
  </conditionalFormatting>
  <conditionalFormatting sqref="F526">
    <cfRule type="cellIs" dxfId="1716" priority="24591" operator="lessThan">
      <formula>-4100</formula>
    </cfRule>
  </conditionalFormatting>
  <conditionalFormatting sqref="F526">
    <cfRule type="cellIs" dxfId="1715" priority="24592" operator="greaterThanOrEqual">
      <formula>0</formula>
    </cfRule>
  </conditionalFormatting>
  <conditionalFormatting sqref="F526">
    <cfRule type="cellIs" dxfId="1714" priority="24593" operator="lessThan">
      <formula>-4100</formula>
    </cfRule>
  </conditionalFormatting>
  <conditionalFormatting sqref="F526">
    <cfRule type="cellIs" dxfId="1713" priority="24594" operator="greaterThanOrEqual">
      <formula>0</formula>
    </cfRule>
  </conditionalFormatting>
  <conditionalFormatting sqref="F526">
    <cfRule type="cellIs" dxfId="1712" priority="24595" operator="lessThan">
      <formula>-4100</formula>
    </cfRule>
  </conditionalFormatting>
  <conditionalFormatting sqref="F526">
    <cfRule type="cellIs" dxfId="1711" priority="24596" operator="greaterThanOrEqual">
      <formula>0</formula>
    </cfRule>
  </conditionalFormatting>
  <conditionalFormatting sqref="F526">
    <cfRule type="cellIs" dxfId="1710" priority="24597" operator="lessThan">
      <formula>-4100</formula>
    </cfRule>
  </conditionalFormatting>
  <conditionalFormatting sqref="E526">
    <cfRule type="cellIs" dxfId="1709" priority="24598" operator="greaterThan">
      <formula>0</formula>
    </cfRule>
  </conditionalFormatting>
  <conditionalFormatting sqref="H522">
    <cfRule type="expression" dxfId="1708" priority="24599">
      <formula>H522&lt;($D$3-6%)</formula>
    </cfRule>
  </conditionalFormatting>
  <conditionalFormatting sqref="H522">
    <cfRule type="expression" dxfId="1707" priority="24600">
      <formula>H522&gt;($D$3+6%)</formula>
    </cfRule>
  </conditionalFormatting>
  <conditionalFormatting sqref="H522">
    <cfRule type="expression" dxfId="1706" priority="24601">
      <formula>H522&lt;($D$3-3%)</formula>
    </cfRule>
  </conditionalFormatting>
  <conditionalFormatting sqref="H522">
    <cfRule type="expression" dxfId="1705" priority="24602">
      <formula>H522&gt;($D$3+3%)</formula>
    </cfRule>
  </conditionalFormatting>
  <conditionalFormatting sqref="H523">
    <cfRule type="expression" dxfId="1704" priority="24603">
      <formula>H523&lt;($D$3-6%)</formula>
    </cfRule>
  </conditionalFormatting>
  <conditionalFormatting sqref="H523">
    <cfRule type="expression" dxfId="1703" priority="24604">
      <formula>H523&gt;($D$3+6%)</formula>
    </cfRule>
  </conditionalFormatting>
  <conditionalFormatting sqref="H523">
    <cfRule type="expression" dxfId="1702" priority="24605">
      <formula>H523&lt;($D$3-3%)</formula>
    </cfRule>
  </conditionalFormatting>
  <conditionalFormatting sqref="H523">
    <cfRule type="expression" dxfId="1701" priority="24606">
      <formula>H523&gt;($D$3+3%)</formula>
    </cfRule>
  </conditionalFormatting>
  <conditionalFormatting sqref="H532">
    <cfRule type="expression" dxfId="1700" priority="22989">
      <formula>H532&lt;($D$3-6%)</formula>
    </cfRule>
  </conditionalFormatting>
  <conditionalFormatting sqref="H532">
    <cfRule type="expression" dxfId="1699" priority="22990">
      <formula>H532&gt;($D$3+6%)</formula>
    </cfRule>
  </conditionalFormatting>
  <conditionalFormatting sqref="H532">
    <cfRule type="expression" dxfId="1698" priority="22991">
      <formula>H532&lt;($D$3-3%)</formula>
    </cfRule>
  </conditionalFormatting>
  <conditionalFormatting sqref="H532">
    <cfRule type="expression" dxfId="1697" priority="22992">
      <formula>H532&gt;($D$3+3%)</formula>
    </cfRule>
  </conditionalFormatting>
  <conditionalFormatting sqref="H533">
    <cfRule type="expression" dxfId="1696" priority="22993">
      <formula>H533&lt;($D$3-6%)</formula>
    </cfRule>
  </conditionalFormatting>
  <conditionalFormatting sqref="H533">
    <cfRule type="expression" dxfId="1695" priority="22994">
      <formula>H533&gt;($D$3+6%)</formula>
    </cfRule>
  </conditionalFormatting>
  <conditionalFormatting sqref="H533">
    <cfRule type="expression" dxfId="1694" priority="22995">
      <formula>H533&lt;($D$3-3%)</formula>
    </cfRule>
  </conditionalFormatting>
  <conditionalFormatting sqref="H533">
    <cfRule type="expression" dxfId="1693" priority="22996">
      <formula>H533&gt;($D$3+3%)</formula>
    </cfRule>
  </conditionalFormatting>
  <conditionalFormatting sqref="F536">
    <cfRule type="cellIs" dxfId="1692" priority="22972" operator="greaterThanOrEqual">
      <formula>0</formula>
    </cfRule>
  </conditionalFormatting>
  <conditionalFormatting sqref="F536">
    <cfRule type="cellIs" dxfId="1691" priority="22973" operator="lessThan">
      <formula>-4100</formula>
    </cfRule>
  </conditionalFormatting>
  <conditionalFormatting sqref="F536">
    <cfRule type="cellIs" dxfId="1690" priority="22974" operator="greaterThanOrEqual">
      <formula>0</formula>
    </cfRule>
  </conditionalFormatting>
  <conditionalFormatting sqref="F536">
    <cfRule type="cellIs" dxfId="1689" priority="22975" operator="lessThan">
      <formula>-4100</formula>
    </cfRule>
  </conditionalFormatting>
  <conditionalFormatting sqref="F536">
    <cfRule type="cellIs" dxfId="1688" priority="22976" operator="greaterThanOrEqual">
      <formula>0</formula>
    </cfRule>
  </conditionalFormatting>
  <conditionalFormatting sqref="F536">
    <cfRule type="cellIs" dxfId="1687" priority="22977" operator="lessThan">
      <formula>-4100</formula>
    </cfRule>
  </conditionalFormatting>
  <conditionalFormatting sqref="F536">
    <cfRule type="cellIs" dxfId="1686" priority="22978" operator="greaterThanOrEqual">
      <formula>0</formula>
    </cfRule>
  </conditionalFormatting>
  <conditionalFormatting sqref="F536">
    <cfRule type="cellIs" dxfId="1685" priority="22979" operator="lessThan">
      <formula>-4100</formula>
    </cfRule>
  </conditionalFormatting>
  <conditionalFormatting sqref="F536">
    <cfRule type="cellIs" dxfId="1684" priority="22980" operator="greaterThanOrEqual">
      <formula>0</formula>
    </cfRule>
  </conditionalFormatting>
  <conditionalFormatting sqref="F536">
    <cfRule type="cellIs" dxfId="1683" priority="22981" operator="lessThan">
      <formula>-4100</formula>
    </cfRule>
  </conditionalFormatting>
  <conditionalFormatting sqref="F536">
    <cfRule type="cellIs" dxfId="1682" priority="22982" operator="greaterThanOrEqual">
      <formula>0</formula>
    </cfRule>
  </conditionalFormatting>
  <conditionalFormatting sqref="F536">
    <cfRule type="cellIs" dxfId="1681" priority="22983" operator="lessThan">
      <formula>-4100</formula>
    </cfRule>
  </conditionalFormatting>
  <conditionalFormatting sqref="F536">
    <cfRule type="cellIs" dxfId="1680" priority="22984" operator="greaterThanOrEqual">
      <formula>0</formula>
    </cfRule>
  </conditionalFormatting>
  <conditionalFormatting sqref="F536">
    <cfRule type="cellIs" dxfId="1679" priority="22985" operator="lessThan">
      <formula>-4100</formula>
    </cfRule>
  </conditionalFormatting>
  <conditionalFormatting sqref="F536">
    <cfRule type="cellIs" dxfId="1678" priority="22986" operator="greaterThanOrEqual">
      <formula>0</formula>
    </cfRule>
  </conditionalFormatting>
  <conditionalFormatting sqref="F536">
    <cfRule type="cellIs" dxfId="1677" priority="22987" operator="lessThan">
      <formula>-4100</formula>
    </cfRule>
  </conditionalFormatting>
  <conditionalFormatting sqref="E536">
    <cfRule type="cellIs" dxfId="1676" priority="22988" operator="greaterThan">
      <formula>0</formula>
    </cfRule>
  </conditionalFormatting>
  <conditionalFormatting sqref="F541">
    <cfRule type="cellIs" dxfId="1675" priority="22862" operator="greaterThanOrEqual">
      <formula>0</formula>
    </cfRule>
  </conditionalFormatting>
  <conditionalFormatting sqref="F541">
    <cfRule type="cellIs" dxfId="1674" priority="22863" operator="lessThan">
      <formula>-4100</formula>
    </cfRule>
  </conditionalFormatting>
  <conditionalFormatting sqref="F541">
    <cfRule type="cellIs" dxfId="1673" priority="22864" operator="greaterThanOrEqual">
      <formula>0</formula>
    </cfRule>
  </conditionalFormatting>
  <conditionalFormatting sqref="F541">
    <cfRule type="cellIs" dxfId="1672" priority="22865" operator="lessThan">
      <formula>-4100</formula>
    </cfRule>
  </conditionalFormatting>
  <conditionalFormatting sqref="F541">
    <cfRule type="cellIs" dxfId="1671" priority="22866" operator="greaterThanOrEqual">
      <formula>0</formula>
    </cfRule>
  </conditionalFormatting>
  <conditionalFormatting sqref="F541">
    <cfRule type="cellIs" dxfId="1670" priority="22867" operator="lessThan">
      <formula>-4100</formula>
    </cfRule>
  </conditionalFormatting>
  <conditionalFormatting sqref="F541">
    <cfRule type="cellIs" dxfId="1669" priority="22868" operator="greaterThanOrEqual">
      <formula>0</formula>
    </cfRule>
  </conditionalFormatting>
  <conditionalFormatting sqref="F541">
    <cfRule type="cellIs" dxfId="1668" priority="22869" operator="lessThan">
      <formula>-4100</formula>
    </cfRule>
  </conditionalFormatting>
  <conditionalFormatting sqref="F541">
    <cfRule type="cellIs" dxfId="1667" priority="22870" operator="greaterThanOrEqual">
      <formula>0</formula>
    </cfRule>
  </conditionalFormatting>
  <conditionalFormatting sqref="F541">
    <cfRule type="cellIs" dxfId="1666" priority="22871" operator="lessThan">
      <formula>-4100</formula>
    </cfRule>
  </conditionalFormatting>
  <conditionalFormatting sqref="F541">
    <cfRule type="cellIs" dxfId="1665" priority="22872" operator="greaterThanOrEqual">
      <formula>0</formula>
    </cfRule>
  </conditionalFormatting>
  <conditionalFormatting sqref="F541">
    <cfRule type="cellIs" dxfId="1664" priority="22873" operator="lessThan">
      <formula>-4100</formula>
    </cfRule>
  </conditionalFormatting>
  <conditionalFormatting sqref="F541">
    <cfRule type="cellIs" dxfId="1663" priority="22874" operator="greaterThanOrEqual">
      <formula>0</formula>
    </cfRule>
  </conditionalFormatting>
  <conditionalFormatting sqref="F541">
    <cfRule type="cellIs" dxfId="1662" priority="22875" operator="lessThan">
      <formula>-4100</formula>
    </cfRule>
  </conditionalFormatting>
  <conditionalFormatting sqref="F541">
    <cfRule type="cellIs" dxfId="1661" priority="22876" operator="greaterThanOrEqual">
      <formula>0</formula>
    </cfRule>
  </conditionalFormatting>
  <conditionalFormatting sqref="F541">
    <cfRule type="cellIs" dxfId="1660" priority="22877" operator="lessThan">
      <formula>-4100</formula>
    </cfRule>
  </conditionalFormatting>
  <conditionalFormatting sqref="E541">
    <cfRule type="cellIs" dxfId="1659" priority="22878" operator="greaterThan">
      <formula>0</formula>
    </cfRule>
  </conditionalFormatting>
  <conditionalFormatting sqref="H321:H322">
    <cfRule type="expression" dxfId="1658" priority="22462">
      <formula>H321&lt;($D$3-6%)</formula>
    </cfRule>
  </conditionalFormatting>
  <conditionalFormatting sqref="H321:H322">
    <cfRule type="expression" dxfId="1657" priority="22463">
      <formula>H321&gt;($D$3+6%)</formula>
    </cfRule>
  </conditionalFormatting>
  <conditionalFormatting sqref="H321:H322">
    <cfRule type="expression" dxfId="1656" priority="22464">
      <formula>H321&lt;($D$3-3%)</formula>
    </cfRule>
  </conditionalFormatting>
  <conditionalFormatting sqref="H321:H322">
    <cfRule type="expression" dxfId="1655" priority="22465">
      <formula>H321&gt;($D$3+3%)</formula>
    </cfRule>
  </conditionalFormatting>
  <conditionalFormatting sqref="F546">
    <cfRule type="cellIs" dxfId="1654" priority="22203" operator="lessThan">
      <formula>-4100</formula>
    </cfRule>
  </conditionalFormatting>
  <conditionalFormatting sqref="F546">
    <cfRule type="cellIs" dxfId="1653" priority="22204" operator="greaterThanOrEqual">
      <formula>0</formula>
    </cfRule>
  </conditionalFormatting>
  <conditionalFormatting sqref="F546">
    <cfRule type="cellIs" dxfId="1652" priority="22205" operator="greaterThanOrEqual">
      <formula>0</formula>
    </cfRule>
  </conditionalFormatting>
  <conditionalFormatting sqref="F546">
    <cfRule type="cellIs" dxfId="1651" priority="22206" operator="lessThan">
      <formula>-4100</formula>
    </cfRule>
  </conditionalFormatting>
  <conditionalFormatting sqref="F546">
    <cfRule type="cellIs" dxfId="1650" priority="22207" operator="greaterThanOrEqual">
      <formula>0</formula>
    </cfRule>
  </conditionalFormatting>
  <conditionalFormatting sqref="F546">
    <cfRule type="cellIs" dxfId="1649" priority="22208" operator="lessThan">
      <formula>-4100</formula>
    </cfRule>
  </conditionalFormatting>
  <conditionalFormatting sqref="F546">
    <cfRule type="cellIs" dxfId="1648" priority="22209" operator="greaterThanOrEqual">
      <formula>0</formula>
    </cfRule>
  </conditionalFormatting>
  <conditionalFormatting sqref="F546">
    <cfRule type="cellIs" dxfId="1647" priority="22210" operator="lessThan">
      <formula>-4100</formula>
    </cfRule>
  </conditionalFormatting>
  <conditionalFormatting sqref="E546">
    <cfRule type="cellIs" dxfId="1646" priority="22211" operator="greaterThan">
      <formula>0</formula>
    </cfRule>
  </conditionalFormatting>
  <conditionalFormatting sqref="F551">
    <cfRule type="cellIs" dxfId="1645" priority="22194" operator="lessThan">
      <formula>-4100</formula>
    </cfRule>
  </conditionalFormatting>
  <conditionalFormatting sqref="F551">
    <cfRule type="cellIs" dxfId="1644" priority="22195" operator="greaterThanOrEqual">
      <formula>0</formula>
    </cfRule>
  </conditionalFormatting>
  <conditionalFormatting sqref="F551">
    <cfRule type="cellIs" dxfId="1643" priority="22196" operator="greaterThanOrEqual">
      <formula>0</formula>
    </cfRule>
  </conditionalFormatting>
  <conditionalFormatting sqref="F551">
    <cfRule type="cellIs" dxfId="1642" priority="22197" operator="lessThan">
      <formula>-4100</formula>
    </cfRule>
  </conditionalFormatting>
  <conditionalFormatting sqref="F551">
    <cfRule type="cellIs" dxfId="1641" priority="22198" operator="greaterThanOrEqual">
      <formula>0</formula>
    </cfRule>
  </conditionalFormatting>
  <conditionalFormatting sqref="F551">
    <cfRule type="cellIs" dxfId="1640" priority="22199" operator="lessThan">
      <formula>-4100</formula>
    </cfRule>
  </conditionalFormatting>
  <conditionalFormatting sqref="F551">
    <cfRule type="cellIs" dxfId="1639" priority="22200" operator="greaterThanOrEqual">
      <formula>0</formula>
    </cfRule>
  </conditionalFormatting>
  <conditionalFormatting sqref="F551">
    <cfRule type="cellIs" dxfId="1638" priority="22201" operator="lessThan">
      <formula>-4100</formula>
    </cfRule>
  </conditionalFormatting>
  <conditionalFormatting sqref="E551">
    <cfRule type="cellIs" dxfId="1637" priority="22202" operator="greaterThan">
      <formula>0</formula>
    </cfRule>
  </conditionalFormatting>
  <conditionalFormatting sqref="F531">
    <cfRule type="cellIs" dxfId="1636" priority="21431" operator="greaterThanOrEqual">
      <formula>0</formula>
    </cfRule>
  </conditionalFormatting>
  <conditionalFormatting sqref="F531">
    <cfRule type="cellIs" dxfId="1635" priority="21432" operator="lessThan">
      <formula>-4100</formula>
    </cfRule>
  </conditionalFormatting>
  <conditionalFormatting sqref="F531">
    <cfRule type="cellIs" dxfId="1634" priority="21433" operator="greaterThanOrEqual">
      <formula>0</formula>
    </cfRule>
  </conditionalFormatting>
  <conditionalFormatting sqref="F531">
    <cfRule type="cellIs" dxfId="1633" priority="21434" operator="lessThan">
      <formula>-4100</formula>
    </cfRule>
  </conditionalFormatting>
  <conditionalFormatting sqref="F531">
    <cfRule type="cellIs" dxfId="1632" priority="21435" operator="greaterThanOrEqual">
      <formula>0</formula>
    </cfRule>
  </conditionalFormatting>
  <conditionalFormatting sqref="F531">
    <cfRule type="cellIs" dxfId="1631" priority="21436" operator="lessThan">
      <formula>-4100</formula>
    </cfRule>
  </conditionalFormatting>
  <conditionalFormatting sqref="F531">
    <cfRule type="cellIs" dxfId="1630" priority="21437" operator="greaterThanOrEqual">
      <formula>0</formula>
    </cfRule>
  </conditionalFormatting>
  <conditionalFormatting sqref="F531">
    <cfRule type="cellIs" dxfId="1629" priority="21438" operator="lessThan">
      <formula>-4100</formula>
    </cfRule>
  </conditionalFormatting>
  <conditionalFormatting sqref="F531">
    <cfRule type="cellIs" dxfId="1628" priority="21439" operator="greaterThanOrEqual">
      <formula>0</formula>
    </cfRule>
  </conditionalFormatting>
  <conditionalFormatting sqref="F531">
    <cfRule type="cellIs" dxfId="1627" priority="21440" operator="lessThan">
      <formula>-4100</formula>
    </cfRule>
  </conditionalFormatting>
  <conditionalFormatting sqref="F531">
    <cfRule type="cellIs" dxfId="1626" priority="21441" operator="greaterThanOrEqual">
      <formula>0</formula>
    </cfRule>
  </conditionalFormatting>
  <conditionalFormatting sqref="F531">
    <cfRule type="cellIs" dxfId="1625" priority="21442" operator="lessThan">
      <formula>-4100</formula>
    </cfRule>
  </conditionalFormatting>
  <conditionalFormatting sqref="F531">
    <cfRule type="cellIs" dxfId="1624" priority="21443" operator="greaterThanOrEqual">
      <formula>0</formula>
    </cfRule>
  </conditionalFormatting>
  <conditionalFormatting sqref="F531">
    <cfRule type="cellIs" dxfId="1623" priority="21444" operator="lessThan">
      <formula>-4100</formula>
    </cfRule>
  </conditionalFormatting>
  <conditionalFormatting sqref="F531">
    <cfRule type="cellIs" dxfId="1622" priority="21445" operator="greaterThanOrEqual">
      <formula>0</formula>
    </cfRule>
  </conditionalFormatting>
  <conditionalFormatting sqref="F531">
    <cfRule type="cellIs" dxfId="1621" priority="21446" operator="lessThan">
      <formula>-4100</formula>
    </cfRule>
  </conditionalFormatting>
  <conditionalFormatting sqref="E531">
    <cfRule type="cellIs" dxfId="1620" priority="21447" operator="greaterThan">
      <formula>0</formula>
    </cfRule>
  </conditionalFormatting>
  <conditionalFormatting sqref="H412">
    <cfRule type="expression" dxfId="1619" priority="20978">
      <formula>H412&lt;($D$3-6%)</formula>
    </cfRule>
  </conditionalFormatting>
  <conditionalFormatting sqref="H412">
    <cfRule type="expression" dxfId="1618" priority="20979">
      <formula>H412&gt;($D$3+6%)</formula>
    </cfRule>
  </conditionalFormatting>
  <conditionalFormatting sqref="H412">
    <cfRule type="expression" dxfId="1617" priority="20980">
      <formula>H412&lt;($D$3-3%)</formula>
    </cfRule>
  </conditionalFormatting>
  <conditionalFormatting sqref="H412">
    <cfRule type="expression" dxfId="1616" priority="20981">
      <formula>H412&gt;($D$3+3%)</formula>
    </cfRule>
  </conditionalFormatting>
  <conditionalFormatting sqref="F415">
    <cfRule type="cellIs" dxfId="1615" priority="20957" operator="greaterThanOrEqual">
      <formula>0</formula>
    </cfRule>
  </conditionalFormatting>
  <conditionalFormatting sqref="F415">
    <cfRule type="cellIs" dxfId="1614" priority="20958" operator="lessThan">
      <formula>-4100</formula>
    </cfRule>
  </conditionalFormatting>
  <conditionalFormatting sqref="F415">
    <cfRule type="cellIs" dxfId="1613" priority="20959" operator="greaterThanOrEqual">
      <formula>0</formula>
    </cfRule>
  </conditionalFormatting>
  <conditionalFormatting sqref="F415">
    <cfRule type="cellIs" dxfId="1612" priority="20960" operator="lessThan">
      <formula>-4100</formula>
    </cfRule>
  </conditionalFormatting>
  <conditionalFormatting sqref="F415">
    <cfRule type="cellIs" dxfId="1611" priority="20961" operator="greaterThanOrEqual">
      <formula>0</formula>
    </cfRule>
  </conditionalFormatting>
  <conditionalFormatting sqref="F415">
    <cfRule type="cellIs" dxfId="1610" priority="20962" operator="lessThan">
      <formula>-4100</formula>
    </cfRule>
  </conditionalFormatting>
  <conditionalFormatting sqref="F415">
    <cfRule type="cellIs" dxfId="1609" priority="20963" operator="greaterThanOrEqual">
      <formula>0</formula>
    </cfRule>
  </conditionalFormatting>
  <conditionalFormatting sqref="F415">
    <cfRule type="cellIs" dxfId="1608" priority="20964" operator="lessThan">
      <formula>-4100</formula>
    </cfRule>
  </conditionalFormatting>
  <conditionalFormatting sqref="F415">
    <cfRule type="cellIs" dxfId="1607" priority="20965" operator="greaterThanOrEqual">
      <formula>0</formula>
    </cfRule>
  </conditionalFormatting>
  <conditionalFormatting sqref="F415">
    <cfRule type="cellIs" dxfId="1606" priority="20966" operator="lessThan">
      <formula>-4100</formula>
    </cfRule>
  </conditionalFormatting>
  <conditionalFormatting sqref="F415">
    <cfRule type="cellIs" dxfId="1605" priority="20967" operator="greaterThanOrEqual">
      <formula>0</formula>
    </cfRule>
  </conditionalFormatting>
  <conditionalFormatting sqref="F415">
    <cfRule type="cellIs" dxfId="1604" priority="20968" operator="lessThan">
      <formula>-4100</formula>
    </cfRule>
  </conditionalFormatting>
  <conditionalFormatting sqref="F415">
    <cfRule type="cellIs" dxfId="1603" priority="20969" operator="greaterThanOrEqual">
      <formula>0</formula>
    </cfRule>
  </conditionalFormatting>
  <conditionalFormatting sqref="F415">
    <cfRule type="cellIs" dxfId="1602" priority="20970" operator="lessThan">
      <formula>-4100</formula>
    </cfRule>
  </conditionalFormatting>
  <conditionalFormatting sqref="F415">
    <cfRule type="cellIs" dxfId="1601" priority="20971" operator="greaterThanOrEqual">
      <formula>0</formula>
    </cfRule>
  </conditionalFormatting>
  <conditionalFormatting sqref="F415">
    <cfRule type="cellIs" dxfId="1600" priority="20972" operator="lessThan">
      <formula>-4100</formula>
    </cfRule>
  </conditionalFormatting>
  <conditionalFormatting sqref="E415">
    <cfRule type="cellIs" dxfId="1599" priority="20973" operator="greaterThan">
      <formula>0</formula>
    </cfRule>
  </conditionalFormatting>
  <conditionalFormatting sqref="F315">
    <cfRule type="cellIs" dxfId="1598" priority="20699" operator="greaterThanOrEqual">
      <formula>0</formula>
    </cfRule>
  </conditionalFormatting>
  <conditionalFormatting sqref="F315">
    <cfRule type="cellIs" dxfId="1597" priority="20700" operator="lessThan">
      <formula>-4100</formula>
    </cfRule>
  </conditionalFormatting>
  <conditionalFormatting sqref="F315">
    <cfRule type="cellIs" dxfId="1596" priority="20701" operator="greaterThanOrEqual">
      <formula>0</formula>
    </cfRule>
  </conditionalFormatting>
  <conditionalFormatting sqref="F315">
    <cfRule type="cellIs" dxfId="1595" priority="20702" operator="lessThan">
      <formula>-4100</formula>
    </cfRule>
  </conditionalFormatting>
  <conditionalFormatting sqref="F315">
    <cfRule type="cellIs" dxfId="1594" priority="20703" operator="greaterThanOrEqual">
      <formula>0</formula>
    </cfRule>
  </conditionalFormatting>
  <conditionalFormatting sqref="F315">
    <cfRule type="cellIs" dxfId="1593" priority="20704" operator="lessThan">
      <formula>-4100</formula>
    </cfRule>
  </conditionalFormatting>
  <conditionalFormatting sqref="F315">
    <cfRule type="cellIs" dxfId="1592" priority="20705" operator="greaterThanOrEqual">
      <formula>0</formula>
    </cfRule>
  </conditionalFormatting>
  <conditionalFormatting sqref="F315">
    <cfRule type="cellIs" dxfId="1591" priority="20706" operator="lessThan">
      <formula>-4100</formula>
    </cfRule>
  </conditionalFormatting>
  <conditionalFormatting sqref="E315">
    <cfRule type="cellIs" dxfId="1590" priority="20707" operator="greaterThan">
      <formula>0</formula>
    </cfRule>
  </conditionalFormatting>
  <conditionalFormatting sqref="F315">
    <cfRule type="cellIs" dxfId="1589" priority="20708" operator="greaterThanOrEqual">
      <formula>0</formula>
    </cfRule>
  </conditionalFormatting>
  <conditionalFormatting sqref="F315">
    <cfRule type="cellIs" dxfId="1588" priority="20709" operator="lessThan">
      <formula>-4100</formula>
    </cfRule>
  </conditionalFormatting>
  <conditionalFormatting sqref="F315">
    <cfRule type="cellIs" dxfId="1587" priority="20710" operator="greaterThanOrEqual">
      <formula>0</formula>
    </cfRule>
  </conditionalFormatting>
  <conditionalFormatting sqref="F315">
    <cfRule type="cellIs" dxfId="1586" priority="20711" operator="lessThan">
      <formula>-4100</formula>
    </cfRule>
  </conditionalFormatting>
  <conditionalFormatting sqref="F315">
    <cfRule type="cellIs" dxfId="1585" priority="20712" operator="lessThan">
      <formula>-4100</formula>
    </cfRule>
  </conditionalFormatting>
  <conditionalFormatting sqref="F315">
    <cfRule type="cellIs" dxfId="1584" priority="20713" operator="greaterThanOrEqual">
      <formula>0</formula>
    </cfRule>
  </conditionalFormatting>
  <conditionalFormatting sqref="F315">
    <cfRule type="cellIs" dxfId="1583" priority="20714" operator="greaterThanOrEqual">
      <formula>0</formula>
    </cfRule>
  </conditionalFormatting>
  <conditionalFormatting sqref="F315">
    <cfRule type="cellIs" dxfId="1582" priority="20715" operator="lessThan">
      <formula>-4100</formula>
    </cfRule>
  </conditionalFormatting>
  <conditionalFormatting sqref="H411">
    <cfRule type="expression" dxfId="1581" priority="20660">
      <formula>H411&lt;($D$3-6%)</formula>
    </cfRule>
  </conditionalFormatting>
  <conditionalFormatting sqref="H411">
    <cfRule type="expression" dxfId="1580" priority="20661">
      <formula>H411&gt;($D$3+6%)</formula>
    </cfRule>
  </conditionalFormatting>
  <conditionalFormatting sqref="H411">
    <cfRule type="expression" dxfId="1579" priority="20662">
      <formula>H411&lt;($D$3-3%)</formula>
    </cfRule>
  </conditionalFormatting>
  <conditionalFormatting sqref="H411">
    <cfRule type="expression" dxfId="1578" priority="20663">
      <formula>H411&gt;($D$3+3%)</formula>
    </cfRule>
  </conditionalFormatting>
  <conditionalFormatting sqref="F320">
    <cfRule type="cellIs" dxfId="1577" priority="20511" operator="lessThan">
      <formula>-4100</formula>
    </cfRule>
  </conditionalFormatting>
  <conditionalFormatting sqref="F320">
    <cfRule type="cellIs" dxfId="1576" priority="20512" operator="greaterThanOrEqual">
      <formula>0</formula>
    </cfRule>
  </conditionalFormatting>
  <conditionalFormatting sqref="F320">
    <cfRule type="cellIs" dxfId="1575" priority="20498" operator="greaterThanOrEqual">
      <formula>0</formula>
    </cfRule>
  </conditionalFormatting>
  <conditionalFormatting sqref="F320">
    <cfRule type="cellIs" dxfId="1574" priority="20499" operator="lessThan">
      <formula>-4100</formula>
    </cfRule>
  </conditionalFormatting>
  <conditionalFormatting sqref="F320">
    <cfRule type="cellIs" dxfId="1573" priority="20500" operator="greaterThanOrEqual">
      <formula>0</formula>
    </cfRule>
  </conditionalFormatting>
  <conditionalFormatting sqref="F320">
    <cfRule type="cellIs" dxfId="1572" priority="20501" operator="lessThan">
      <formula>-4100</formula>
    </cfRule>
  </conditionalFormatting>
  <conditionalFormatting sqref="F320">
    <cfRule type="cellIs" dxfId="1571" priority="20502" operator="greaterThanOrEqual">
      <formula>0</formula>
    </cfRule>
  </conditionalFormatting>
  <conditionalFormatting sqref="F320">
    <cfRule type="cellIs" dxfId="1570" priority="20503" operator="lessThan">
      <formula>-4100</formula>
    </cfRule>
  </conditionalFormatting>
  <conditionalFormatting sqref="F320">
    <cfRule type="cellIs" dxfId="1569" priority="20504" operator="greaterThanOrEqual">
      <formula>0</formula>
    </cfRule>
  </conditionalFormatting>
  <conditionalFormatting sqref="F320">
    <cfRule type="cellIs" dxfId="1568" priority="20505" operator="lessThan">
      <formula>-4100</formula>
    </cfRule>
  </conditionalFormatting>
  <conditionalFormatting sqref="E320">
    <cfRule type="cellIs" dxfId="1567" priority="20506" operator="greaterThan">
      <formula>0</formula>
    </cfRule>
  </conditionalFormatting>
  <conditionalFormatting sqref="F320">
    <cfRule type="cellIs" dxfId="1566" priority="20507" operator="greaterThanOrEqual">
      <formula>0</formula>
    </cfRule>
  </conditionalFormatting>
  <conditionalFormatting sqref="F320">
    <cfRule type="cellIs" dxfId="1565" priority="20508" operator="lessThan">
      <formula>-4100</formula>
    </cfRule>
  </conditionalFormatting>
  <conditionalFormatting sqref="F320">
    <cfRule type="cellIs" dxfId="1564" priority="20509" operator="greaterThanOrEqual">
      <formula>0</formula>
    </cfRule>
  </conditionalFormatting>
  <conditionalFormatting sqref="F320">
    <cfRule type="cellIs" dxfId="1563" priority="20510" operator="lessThan">
      <formula>-4100</formula>
    </cfRule>
  </conditionalFormatting>
  <conditionalFormatting sqref="F320">
    <cfRule type="cellIs" dxfId="1562" priority="20513" operator="greaterThanOrEqual">
      <formula>0</formula>
    </cfRule>
  </conditionalFormatting>
  <conditionalFormatting sqref="F320">
    <cfRule type="cellIs" dxfId="1561" priority="20514" operator="lessThan">
      <formula>-4100</formula>
    </cfRule>
  </conditionalFormatting>
  <conditionalFormatting sqref="F520">
    <cfRule type="cellIs" dxfId="1560" priority="20421" operator="greaterThanOrEqual">
      <formula>0</formula>
    </cfRule>
  </conditionalFormatting>
  <conditionalFormatting sqref="F520">
    <cfRule type="cellIs" dxfId="1559" priority="20422" operator="lessThan">
      <formula>-4100</formula>
    </cfRule>
  </conditionalFormatting>
  <conditionalFormatting sqref="F520">
    <cfRule type="cellIs" dxfId="1558" priority="20423" operator="greaterThanOrEqual">
      <formula>0</formula>
    </cfRule>
  </conditionalFormatting>
  <conditionalFormatting sqref="F520">
    <cfRule type="cellIs" dxfId="1557" priority="20424" operator="lessThan">
      <formula>-4100</formula>
    </cfRule>
  </conditionalFormatting>
  <conditionalFormatting sqref="F520">
    <cfRule type="cellIs" dxfId="1556" priority="20425" operator="greaterThanOrEqual">
      <formula>0</formula>
    </cfRule>
  </conditionalFormatting>
  <conditionalFormatting sqref="F520">
    <cfRule type="cellIs" dxfId="1555" priority="20426" operator="lessThan">
      <formula>-4100</formula>
    </cfRule>
  </conditionalFormatting>
  <conditionalFormatting sqref="F520">
    <cfRule type="cellIs" dxfId="1554" priority="20427" operator="greaterThanOrEqual">
      <formula>0</formula>
    </cfRule>
  </conditionalFormatting>
  <conditionalFormatting sqref="F520">
    <cfRule type="cellIs" dxfId="1553" priority="20428" operator="lessThan">
      <formula>-4100</formula>
    </cfRule>
  </conditionalFormatting>
  <conditionalFormatting sqref="F520">
    <cfRule type="cellIs" dxfId="1552" priority="20429" operator="greaterThanOrEqual">
      <formula>0</formula>
    </cfRule>
  </conditionalFormatting>
  <conditionalFormatting sqref="F520">
    <cfRule type="cellIs" dxfId="1551" priority="20430" operator="lessThan">
      <formula>-4100</formula>
    </cfRule>
  </conditionalFormatting>
  <conditionalFormatting sqref="F520">
    <cfRule type="cellIs" dxfId="1550" priority="20431" operator="greaterThanOrEqual">
      <formula>0</formula>
    </cfRule>
  </conditionalFormatting>
  <conditionalFormatting sqref="F520">
    <cfRule type="cellIs" dxfId="1549" priority="20432" operator="lessThan">
      <formula>-4100</formula>
    </cfRule>
  </conditionalFormatting>
  <conditionalFormatting sqref="F520">
    <cfRule type="cellIs" dxfId="1548" priority="20433" operator="greaterThanOrEqual">
      <formula>0</formula>
    </cfRule>
  </conditionalFormatting>
  <conditionalFormatting sqref="F520">
    <cfRule type="cellIs" dxfId="1547" priority="20434" operator="lessThan">
      <formula>-4100</formula>
    </cfRule>
  </conditionalFormatting>
  <conditionalFormatting sqref="F520">
    <cfRule type="cellIs" dxfId="1546" priority="20435" operator="greaterThanOrEqual">
      <formula>0</formula>
    </cfRule>
  </conditionalFormatting>
  <conditionalFormatting sqref="F520">
    <cfRule type="cellIs" dxfId="1545" priority="20436" operator="lessThan">
      <formula>-4100</formula>
    </cfRule>
  </conditionalFormatting>
  <conditionalFormatting sqref="E520">
    <cfRule type="cellIs" dxfId="1544" priority="20437" operator="greaterThan">
      <formula>0</formula>
    </cfRule>
  </conditionalFormatting>
  <conditionalFormatting sqref="H150">
    <cfRule type="expression" dxfId="1543" priority="19910">
      <formula>H150&lt;($D$3-6%)</formula>
    </cfRule>
  </conditionalFormatting>
  <conditionalFormatting sqref="H150">
    <cfRule type="expression" dxfId="1542" priority="19911">
      <formula>H150&gt;($D$3+6%)</formula>
    </cfRule>
  </conditionalFormatting>
  <conditionalFormatting sqref="H150">
    <cfRule type="expression" dxfId="1541" priority="19912">
      <formula>H150&lt;($D$3-3%)</formula>
    </cfRule>
  </conditionalFormatting>
  <conditionalFormatting sqref="H150">
    <cfRule type="expression" dxfId="1540" priority="19913">
      <formula>H150&gt;($D$3+3%)</formula>
    </cfRule>
  </conditionalFormatting>
  <conditionalFormatting sqref="H151">
    <cfRule type="expression" dxfId="1539" priority="19906">
      <formula>H151&lt;($D$3-6%)</formula>
    </cfRule>
  </conditionalFormatting>
  <conditionalFormatting sqref="H151">
    <cfRule type="expression" dxfId="1538" priority="19907">
      <formula>H151&gt;($D$3+6%)</formula>
    </cfRule>
  </conditionalFormatting>
  <conditionalFormatting sqref="H151">
    <cfRule type="expression" dxfId="1537" priority="19908">
      <formula>H151&lt;($D$3-3%)</formula>
    </cfRule>
  </conditionalFormatting>
  <conditionalFormatting sqref="H151">
    <cfRule type="expression" dxfId="1536" priority="19909">
      <formula>H151&gt;($D$3+3%)</formula>
    </cfRule>
  </conditionalFormatting>
  <conditionalFormatting sqref="F470">
    <cfRule type="cellIs" dxfId="1535" priority="18317" operator="greaterThanOrEqual">
      <formula>0</formula>
    </cfRule>
  </conditionalFormatting>
  <conditionalFormatting sqref="F470">
    <cfRule type="cellIs" dxfId="1534" priority="18318" operator="lessThan">
      <formula>-4100</formula>
    </cfRule>
  </conditionalFormatting>
  <conditionalFormatting sqref="F470">
    <cfRule type="cellIs" dxfId="1533" priority="18319" operator="greaterThanOrEqual">
      <formula>0</formula>
    </cfRule>
  </conditionalFormatting>
  <conditionalFormatting sqref="F470">
    <cfRule type="cellIs" dxfId="1532" priority="18320" operator="lessThan">
      <formula>-4100</formula>
    </cfRule>
  </conditionalFormatting>
  <conditionalFormatting sqref="F470">
    <cfRule type="cellIs" dxfId="1531" priority="18321" operator="greaterThanOrEqual">
      <formula>0</formula>
    </cfRule>
  </conditionalFormatting>
  <conditionalFormatting sqref="F470">
    <cfRule type="cellIs" dxfId="1530" priority="18322" operator="lessThan">
      <formula>-4100</formula>
    </cfRule>
  </conditionalFormatting>
  <conditionalFormatting sqref="F470">
    <cfRule type="cellIs" dxfId="1529" priority="18323" operator="greaterThanOrEqual">
      <formula>0</formula>
    </cfRule>
  </conditionalFormatting>
  <conditionalFormatting sqref="F470">
    <cfRule type="cellIs" dxfId="1528" priority="18324" operator="lessThan">
      <formula>-4100</formula>
    </cfRule>
  </conditionalFormatting>
  <conditionalFormatting sqref="E470">
    <cfRule type="cellIs" dxfId="1527" priority="18325" operator="greaterThan">
      <formula>0</formula>
    </cfRule>
  </conditionalFormatting>
  <conditionalFormatting sqref="F470">
    <cfRule type="cellIs" dxfId="1526" priority="18309" operator="greaterThanOrEqual">
      <formula>0</formula>
    </cfRule>
  </conditionalFormatting>
  <conditionalFormatting sqref="F470">
    <cfRule type="cellIs" dxfId="1525" priority="18310" operator="lessThan">
      <formula>-4100</formula>
    </cfRule>
  </conditionalFormatting>
  <conditionalFormatting sqref="F470">
    <cfRule type="cellIs" dxfId="1524" priority="18311" operator="greaterThanOrEqual">
      <formula>0</formula>
    </cfRule>
  </conditionalFormatting>
  <conditionalFormatting sqref="F470">
    <cfRule type="cellIs" dxfId="1523" priority="18312" operator="lessThan">
      <formula>-4100</formula>
    </cfRule>
  </conditionalFormatting>
  <conditionalFormatting sqref="F470">
    <cfRule type="cellIs" dxfId="1522" priority="18313" operator="greaterThanOrEqual">
      <formula>0</formula>
    </cfRule>
  </conditionalFormatting>
  <conditionalFormatting sqref="F470">
    <cfRule type="cellIs" dxfId="1521" priority="18314" operator="lessThan">
      <formula>-4100</formula>
    </cfRule>
  </conditionalFormatting>
  <conditionalFormatting sqref="F470">
    <cfRule type="cellIs" dxfId="1520" priority="18315" operator="greaterThanOrEqual">
      <formula>0</formula>
    </cfRule>
  </conditionalFormatting>
  <conditionalFormatting sqref="F470">
    <cfRule type="cellIs" dxfId="1519" priority="18316" operator="lessThan">
      <formula>-4100</formula>
    </cfRule>
  </conditionalFormatting>
  <conditionalFormatting sqref="F485">
    <cfRule type="cellIs" dxfId="1518" priority="18258" operator="greaterThanOrEqual">
      <formula>0</formula>
    </cfRule>
  </conditionalFormatting>
  <conditionalFormatting sqref="F485">
    <cfRule type="cellIs" dxfId="1517" priority="18259" operator="lessThan">
      <formula>-4100</formula>
    </cfRule>
  </conditionalFormatting>
  <conditionalFormatting sqref="F485">
    <cfRule type="cellIs" dxfId="1516" priority="18260" operator="greaterThanOrEqual">
      <formula>0</formula>
    </cfRule>
  </conditionalFormatting>
  <conditionalFormatting sqref="F485">
    <cfRule type="cellIs" dxfId="1515" priority="18261" operator="lessThan">
      <formula>-4100</formula>
    </cfRule>
  </conditionalFormatting>
  <conditionalFormatting sqref="F485">
    <cfRule type="cellIs" dxfId="1514" priority="18262" operator="greaterThanOrEqual">
      <formula>0</formula>
    </cfRule>
  </conditionalFormatting>
  <conditionalFormatting sqref="F485">
    <cfRule type="cellIs" dxfId="1513" priority="18263" operator="lessThan">
      <formula>-4100</formula>
    </cfRule>
  </conditionalFormatting>
  <conditionalFormatting sqref="F485">
    <cfRule type="cellIs" dxfId="1512" priority="18264" operator="greaterThanOrEqual">
      <formula>0</formula>
    </cfRule>
  </conditionalFormatting>
  <conditionalFormatting sqref="F485">
    <cfRule type="cellIs" dxfId="1511" priority="18265" operator="lessThan">
      <formula>-4100</formula>
    </cfRule>
  </conditionalFormatting>
  <conditionalFormatting sqref="F485">
    <cfRule type="cellIs" dxfId="1510" priority="18266" operator="greaterThanOrEqual">
      <formula>0</formula>
    </cfRule>
  </conditionalFormatting>
  <conditionalFormatting sqref="F485">
    <cfRule type="cellIs" dxfId="1509" priority="18267" operator="lessThan">
      <formula>-4100</formula>
    </cfRule>
  </conditionalFormatting>
  <conditionalFormatting sqref="F485">
    <cfRule type="cellIs" dxfId="1508" priority="18268" operator="greaterThanOrEqual">
      <formula>0</formula>
    </cfRule>
  </conditionalFormatting>
  <conditionalFormatting sqref="F485">
    <cfRule type="cellIs" dxfId="1507" priority="18269" operator="lessThan">
      <formula>-4100</formula>
    </cfRule>
  </conditionalFormatting>
  <conditionalFormatting sqref="F485">
    <cfRule type="cellIs" dxfId="1506" priority="18270" operator="greaterThanOrEqual">
      <formula>0</formula>
    </cfRule>
  </conditionalFormatting>
  <conditionalFormatting sqref="F485">
    <cfRule type="cellIs" dxfId="1505" priority="18271" operator="lessThan">
      <formula>-4100</formula>
    </cfRule>
  </conditionalFormatting>
  <conditionalFormatting sqref="F485">
    <cfRule type="cellIs" dxfId="1504" priority="18272" operator="greaterThanOrEqual">
      <formula>0</formula>
    </cfRule>
  </conditionalFormatting>
  <conditionalFormatting sqref="F485">
    <cfRule type="cellIs" dxfId="1503" priority="18273" operator="lessThan">
      <formula>-4100</formula>
    </cfRule>
  </conditionalFormatting>
  <conditionalFormatting sqref="E485">
    <cfRule type="cellIs" dxfId="1502" priority="18274" operator="greaterThan">
      <formula>0</formula>
    </cfRule>
  </conditionalFormatting>
  <conditionalFormatting sqref="F480">
    <cfRule type="cellIs" dxfId="1501" priority="18241" operator="greaterThanOrEqual">
      <formula>0</formula>
    </cfRule>
  </conditionalFormatting>
  <conditionalFormatting sqref="F480">
    <cfRule type="cellIs" dxfId="1500" priority="18242" operator="lessThan">
      <formula>-4100</formula>
    </cfRule>
  </conditionalFormatting>
  <conditionalFormatting sqref="F480">
    <cfRule type="cellIs" dxfId="1499" priority="18243" operator="greaterThanOrEqual">
      <formula>0</formula>
    </cfRule>
  </conditionalFormatting>
  <conditionalFormatting sqref="F480">
    <cfRule type="cellIs" dxfId="1498" priority="18244" operator="lessThan">
      <formula>-4100</formula>
    </cfRule>
  </conditionalFormatting>
  <conditionalFormatting sqref="F480">
    <cfRule type="cellIs" dxfId="1497" priority="18245" operator="greaterThanOrEqual">
      <formula>0</formula>
    </cfRule>
  </conditionalFormatting>
  <conditionalFormatting sqref="F480">
    <cfRule type="cellIs" dxfId="1496" priority="18246" operator="lessThan">
      <formula>-4100</formula>
    </cfRule>
  </conditionalFormatting>
  <conditionalFormatting sqref="F480">
    <cfRule type="cellIs" dxfId="1495" priority="18247" operator="greaterThanOrEqual">
      <formula>0</formula>
    </cfRule>
  </conditionalFormatting>
  <conditionalFormatting sqref="F480">
    <cfRule type="cellIs" dxfId="1494" priority="18248" operator="lessThan">
      <formula>-4100</formula>
    </cfRule>
  </conditionalFormatting>
  <conditionalFormatting sqref="F480">
    <cfRule type="cellIs" dxfId="1493" priority="18249" operator="greaterThanOrEqual">
      <formula>0</formula>
    </cfRule>
  </conditionalFormatting>
  <conditionalFormatting sqref="F480">
    <cfRule type="cellIs" dxfId="1492" priority="18250" operator="lessThan">
      <formula>-4100</formula>
    </cfRule>
  </conditionalFormatting>
  <conditionalFormatting sqref="F480">
    <cfRule type="cellIs" dxfId="1491" priority="18251" operator="greaterThanOrEqual">
      <formula>0</formula>
    </cfRule>
  </conditionalFormatting>
  <conditionalFormatting sqref="F480">
    <cfRule type="cellIs" dxfId="1490" priority="18252" operator="lessThan">
      <formula>-4100</formula>
    </cfRule>
  </conditionalFormatting>
  <conditionalFormatting sqref="F480">
    <cfRule type="cellIs" dxfId="1489" priority="18253" operator="greaterThanOrEqual">
      <formula>0</formula>
    </cfRule>
  </conditionalFormatting>
  <conditionalFormatting sqref="F480">
    <cfRule type="cellIs" dxfId="1488" priority="18254" operator="lessThan">
      <formula>-4100</formula>
    </cfRule>
  </conditionalFormatting>
  <conditionalFormatting sqref="F480">
    <cfRule type="cellIs" dxfId="1487" priority="18255" operator="greaterThanOrEqual">
      <formula>0</formula>
    </cfRule>
  </conditionalFormatting>
  <conditionalFormatting sqref="F480">
    <cfRule type="cellIs" dxfId="1486" priority="18256" operator="lessThan">
      <formula>-4100</formula>
    </cfRule>
  </conditionalFormatting>
  <conditionalFormatting sqref="E480">
    <cfRule type="cellIs" dxfId="1485" priority="18257" operator="greaterThan">
      <formula>0</formula>
    </cfRule>
  </conditionalFormatting>
  <conditionalFormatting sqref="F465">
    <cfRule type="cellIs" dxfId="1484" priority="18198" operator="greaterThanOrEqual">
      <formula>0</formula>
    </cfRule>
  </conditionalFormatting>
  <conditionalFormatting sqref="F465">
    <cfRule type="cellIs" dxfId="1483" priority="18199" operator="lessThan">
      <formula>-4100</formula>
    </cfRule>
  </conditionalFormatting>
  <conditionalFormatting sqref="F465">
    <cfRule type="cellIs" dxfId="1482" priority="18200" operator="greaterThanOrEqual">
      <formula>0</formula>
    </cfRule>
  </conditionalFormatting>
  <conditionalFormatting sqref="F465">
    <cfRule type="cellIs" dxfId="1481" priority="18201" operator="lessThan">
      <formula>-4100</formula>
    </cfRule>
  </conditionalFormatting>
  <conditionalFormatting sqref="F465">
    <cfRule type="cellIs" dxfId="1480" priority="18202" operator="greaterThanOrEqual">
      <formula>0</formula>
    </cfRule>
  </conditionalFormatting>
  <conditionalFormatting sqref="F465">
    <cfRule type="cellIs" dxfId="1479" priority="18203" operator="lessThan">
      <formula>-4100</formula>
    </cfRule>
  </conditionalFormatting>
  <conditionalFormatting sqref="F465">
    <cfRule type="cellIs" dxfId="1478" priority="18204" operator="greaterThanOrEqual">
      <formula>0</formula>
    </cfRule>
  </conditionalFormatting>
  <conditionalFormatting sqref="F465">
    <cfRule type="cellIs" dxfId="1477" priority="18205" operator="lessThan">
      <formula>-4100</formula>
    </cfRule>
  </conditionalFormatting>
  <conditionalFormatting sqref="F465">
    <cfRule type="cellIs" dxfId="1476" priority="18206" operator="greaterThanOrEqual">
      <formula>0</formula>
    </cfRule>
  </conditionalFormatting>
  <conditionalFormatting sqref="F465">
    <cfRule type="cellIs" dxfId="1475" priority="18207" operator="lessThan">
      <formula>-4100</formula>
    </cfRule>
  </conditionalFormatting>
  <conditionalFormatting sqref="F465">
    <cfRule type="cellIs" dxfId="1474" priority="18208" operator="greaterThanOrEqual">
      <formula>0</formula>
    </cfRule>
  </conditionalFormatting>
  <conditionalFormatting sqref="F465">
    <cfRule type="cellIs" dxfId="1473" priority="18209" operator="lessThan">
      <formula>-4100</formula>
    </cfRule>
  </conditionalFormatting>
  <conditionalFormatting sqref="F465">
    <cfRule type="cellIs" dxfId="1472" priority="18210" operator="greaterThanOrEqual">
      <formula>0</formula>
    </cfRule>
  </conditionalFormatting>
  <conditionalFormatting sqref="F465">
    <cfRule type="cellIs" dxfId="1471" priority="18211" operator="lessThan">
      <formula>-4100</formula>
    </cfRule>
  </conditionalFormatting>
  <conditionalFormatting sqref="F465">
    <cfRule type="cellIs" dxfId="1470" priority="18212" operator="greaterThanOrEqual">
      <formula>0</formula>
    </cfRule>
  </conditionalFormatting>
  <conditionalFormatting sqref="F465">
    <cfRule type="cellIs" dxfId="1469" priority="18213" operator="lessThan">
      <formula>-4100</formula>
    </cfRule>
  </conditionalFormatting>
  <conditionalFormatting sqref="E465">
    <cfRule type="cellIs" dxfId="1468" priority="18214" operator="greaterThan">
      <formula>0</formula>
    </cfRule>
  </conditionalFormatting>
  <conditionalFormatting sqref="F475">
    <cfRule type="cellIs" dxfId="1467" priority="18181" operator="greaterThanOrEqual">
      <formula>0</formula>
    </cfRule>
  </conditionalFormatting>
  <conditionalFormatting sqref="F475">
    <cfRule type="cellIs" dxfId="1466" priority="18182" operator="lessThan">
      <formula>-4100</formula>
    </cfRule>
  </conditionalFormatting>
  <conditionalFormatting sqref="F475">
    <cfRule type="cellIs" dxfId="1465" priority="18183" operator="greaterThanOrEqual">
      <formula>0</formula>
    </cfRule>
  </conditionalFormatting>
  <conditionalFormatting sqref="F475">
    <cfRule type="cellIs" dxfId="1464" priority="18184" operator="lessThan">
      <formula>-4100</formula>
    </cfRule>
  </conditionalFormatting>
  <conditionalFormatting sqref="F475">
    <cfRule type="cellIs" dxfId="1463" priority="18185" operator="greaterThanOrEqual">
      <formula>0</formula>
    </cfRule>
  </conditionalFormatting>
  <conditionalFormatting sqref="F475">
    <cfRule type="cellIs" dxfId="1462" priority="18186" operator="lessThan">
      <formula>-4100</formula>
    </cfRule>
  </conditionalFormatting>
  <conditionalFormatting sqref="F475">
    <cfRule type="cellIs" dxfId="1461" priority="18187" operator="greaterThanOrEqual">
      <formula>0</formula>
    </cfRule>
  </conditionalFormatting>
  <conditionalFormatting sqref="F475">
    <cfRule type="cellIs" dxfId="1460" priority="18188" operator="lessThan">
      <formula>-4100</formula>
    </cfRule>
  </conditionalFormatting>
  <conditionalFormatting sqref="F475">
    <cfRule type="cellIs" dxfId="1459" priority="18189" operator="greaterThanOrEqual">
      <formula>0</formula>
    </cfRule>
  </conditionalFormatting>
  <conditionalFormatting sqref="F475">
    <cfRule type="cellIs" dxfId="1458" priority="18190" operator="lessThan">
      <formula>-4100</formula>
    </cfRule>
  </conditionalFormatting>
  <conditionalFormatting sqref="F475">
    <cfRule type="cellIs" dxfId="1457" priority="18191" operator="greaterThanOrEqual">
      <formula>0</formula>
    </cfRule>
  </conditionalFormatting>
  <conditionalFormatting sqref="F475">
    <cfRule type="cellIs" dxfId="1456" priority="18192" operator="lessThan">
      <formula>-4100</formula>
    </cfRule>
  </conditionalFormatting>
  <conditionalFormatting sqref="F475">
    <cfRule type="cellIs" dxfId="1455" priority="18193" operator="greaterThanOrEqual">
      <formula>0</formula>
    </cfRule>
  </conditionalFormatting>
  <conditionalFormatting sqref="F475">
    <cfRule type="cellIs" dxfId="1454" priority="18194" operator="lessThan">
      <formula>-4100</formula>
    </cfRule>
  </conditionalFormatting>
  <conditionalFormatting sqref="F475">
    <cfRule type="cellIs" dxfId="1453" priority="18195" operator="greaterThanOrEqual">
      <formula>0</formula>
    </cfRule>
  </conditionalFormatting>
  <conditionalFormatting sqref="F475">
    <cfRule type="cellIs" dxfId="1452" priority="18196" operator="lessThan">
      <formula>-4100</formula>
    </cfRule>
  </conditionalFormatting>
  <conditionalFormatting sqref="E475">
    <cfRule type="cellIs" dxfId="1451" priority="18197" operator="greaterThan">
      <formula>0</formula>
    </cfRule>
  </conditionalFormatting>
  <conditionalFormatting sqref="F490">
    <cfRule type="cellIs" dxfId="1450" priority="18165" operator="greaterThanOrEqual">
      <formula>0</formula>
    </cfRule>
  </conditionalFormatting>
  <conditionalFormatting sqref="F490">
    <cfRule type="cellIs" dxfId="1449" priority="18166" operator="lessThan">
      <formula>-4100</formula>
    </cfRule>
  </conditionalFormatting>
  <conditionalFormatting sqref="F490">
    <cfRule type="cellIs" dxfId="1448" priority="18167" operator="greaterThanOrEqual">
      <formula>0</formula>
    </cfRule>
  </conditionalFormatting>
  <conditionalFormatting sqref="F490">
    <cfRule type="cellIs" dxfId="1447" priority="18168" operator="lessThan">
      <formula>-4100</formula>
    </cfRule>
  </conditionalFormatting>
  <conditionalFormatting sqref="F490">
    <cfRule type="cellIs" dxfId="1446" priority="18169" operator="greaterThanOrEqual">
      <formula>0</formula>
    </cfRule>
  </conditionalFormatting>
  <conditionalFormatting sqref="F490">
    <cfRule type="cellIs" dxfId="1445" priority="18170" operator="lessThan">
      <formula>-4100</formula>
    </cfRule>
  </conditionalFormatting>
  <conditionalFormatting sqref="E490">
    <cfRule type="cellIs" dxfId="1444" priority="18171" operator="greaterThan">
      <formula>0</formula>
    </cfRule>
  </conditionalFormatting>
  <conditionalFormatting sqref="F490">
    <cfRule type="cellIs" dxfId="1443" priority="18155" operator="greaterThanOrEqual">
      <formula>0</formula>
    </cfRule>
  </conditionalFormatting>
  <conditionalFormatting sqref="F490">
    <cfRule type="cellIs" dxfId="1442" priority="18156" operator="lessThan">
      <formula>-4100</formula>
    </cfRule>
  </conditionalFormatting>
  <conditionalFormatting sqref="F490">
    <cfRule type="cellIs" dxfId="1441" priority="18157" operator="greaterThanOrEqual">
      <formula>0</formula>
    </cfRule>
  </conditionalFormatting>
  <conditionalFormatting sqref="F490">
    <cfRule type="cellIs" dxfId="1440" priority="18158" operator="lessThan">
      <formula>-4100</formula>
    </cfRule>
  </conditionalFormatting>
  <conditionalFormatting sqref="F490">
    <cfRule type="cellIs" dxfId="1439" priority="18159" operator="greaterThanOrEqual">
      <formula>0</formula>
    </cfRule>
  </conditionalFormatting>
  <conditionalFormatting sqref="F490">
    <cfRule type="cellIs" dxfId="1438" priority="18160" operator="lessThan">
      <formula>-4100</formula>
    </cfRule>
  </conditionalFormatting>
  <conditionalFormatting sqref="F490">
    <cfRule type="cellIs" dxfId="1437" priority="18161" operator="greaterThanOrEqual">
      <formula>0</formula>
    </cfRule>
  </conditionalFormatting>
  <conditionalFormatting sqref="F490">
    <cfRule type="cellIs" dxfId="1436" priority="18162" operator="lessThan">
      <formula>-4100</formula>
    </cfRule>
  </conditionalFormatting>
  <conditionalFormatting sqref="F490">
    <cfRule type="cellIs" dxfId="1435" priority="18163" operator="greaterThanOrEqual">
      <formula>0</formula>
    </cfRule>
  </conditionalFormatting>
  <conditionalFormatting sqref="F490">
    <cfRule type="cellIs" dxfId="1434" priority="18164" operator="lessThan">
      <formula>-4100</formula>
    </cfRule>
  </conditionalFormatting>
  <conditionalFormatting sqref="F310">
    <cfRule type="cellIs" dxfId="1433" priority="16073" operator="lessThan">
      <formula>-4100</formula>
    </cfRule>
  </conditionalFormatting>
  <conditionalFormatting sqref="F310">
    <cfRule type="cellIs" dxfId="1432" priority="16074" operator="greaterThanOrEqual">
      <formula>0</formula>
    </cfRule>
  </conditionalFormatting>
  <conditionalFormatting sqref="F310">
    <cfRule type="cellIs" dxfId="1431" priority="16060" operator="greaterThanOrEqual">
      <formula>0</formula>
    </cfRule>
  </conditionalFormatting>
  <conditionalFormatting sqref="F310">
    <cfRule type="cellIs" dxfId="1430" priority="16061" operator="lessThan">
      <formula>-4100</formula>
    </cfRule>
  </conditionalFormatting>
  <conditionalFormatting sqref="F310">
    <cfRule type="cellIs" dxfId="1429" priority="16062" operator="greaterThanOrEqual">
      <formula>0</formula>
    </cfRule>
  </conditionalFormatting>
  <conditionalFormatting sqref="F310">
    <cfRule type="cellIs" dxfId="1428" priority="16063" operator="lessThan">
      <formula>-4100</formula>
    </cfRule>
  </conditionalFormatting>
  <conditionalFormatting sqref="F310">
    <cfRule type="cellIs" dxfId="1427" priority="16064" operator="greaterThanOrEqual">
      <formula>0</formula>
    </cfRule>
  </conditionalFormatting>
  <conditionalFormatting sqref="F310">
    <cfRule type="cellIs" dxfId="1426" priority="16065" operator="lessThan">
      <formula>-4100</formula>
    </cfRule>
  </conditionalFormatting>
  <conditionalFormatting sqref="F310">
    <cfRule type="cellIs" dxfId="1425" priority="16066" operator="greaterThanOrEqual">
      <formula>0</formula>
    </cfRule>
  </conditionalFormatting>
  <conditionalFormatting sqref="F310">
    <cfRule type="cellIs" dxfId="1424" priority="16067" operator="lessThan">
      <formula>-4100</formula>
    </cfRule>
  </conditionalFormatting>
  <conditionalFormatting sqref="E310">
    <cfRule type="cellIs" dxfId="1423" priority="16068" operator="greaterThan">
      <formula>0</formula>
    </cfRule>
  </conditionalFormatting>
  <conditionalFormatting sqref="F310">
    <cfRule type="cellIs" dxfId="1422" priority="16069" operator="greaterThanOrEqual">
      <formula>0</formula>
    </cfRule>
  </conditionalFormatting>
  <conditionalFormatting sqref="F310">
    <cfRule type="cellIs" dxfId="1421" priority="16070" operator="lessThan">
      <formula>-4100</formula>
    </cfRule>
  </conditionalFormatting>
  <conditionalFormatting sqref="F310">
    <cfRule type="cellIs" dxfId="1420" priority="16071" operator="greaterThanOrEqual">
      <formula>0</formula>
    </cfRule>
  </conditionalFormatting>
  <conditionalFormatting sqref="F310">
    <cfRule type="cellIs" dxfId="1419" priority="16072" operator="lessThan">
      <formula>-4100</formula>
    </cfRule>
  </conditionalFormatting>
  <conditionalFormatting sqref="F310">
    <cfRule type="cellIs" dxfId="1418" priority="16075" operator="greaterThanOrEqual">
      <formula>0</formula>
    </cfRule>
  </conditionalFormatting>
  <conditionalFormatting sqref="F310">
    <cfRule type="cellIs" dxfId="1417" priority="16076" operator="lessThan">
      <formula>-4100</formula>
    </cfRule>
  </conditionalFormatting>
  <conditionalFormatting sqref="F305">
    <cfRule type="cellIs" dxfId="1416" priority="16047" operator="lessThan">
      <formula>-4100</formula>
    </cfRule>
  </conditionalFormatting>
  <conditionalFormatting sqref="F305">
    <cfRule type="cellIs" dxfId="1415" priority="16048" operator="greaterThanOrEqual">
      <formula>0</formula>
    </cfRule>
  </conditionalFormatting>
  <conditionalFormatting sqref="F305">
    <cfRule type="cellIs" dxfId="1414" priority="16034" operator="greaterThanOrEqual">
      <formula>0</formula>
    </cfRule>
  </conditionalFormatting>
  <conditionalFormatting sqref="F305">
    <cfRule type="cellIs" dxfId="1413" priority="16035" operator="lessThan">
      <formula>-4100</formula>
    </cfRule>
  </conditionalFormatting>
  <conditionalFormatting sqref="F305">
    <cfRule type="cellIs" dxfId="1412" priority="16036" operator="greaterThanOrEqual">
      <formula>0</formula>
    </cfRule>
  </conditionalFormatting>
  <conditionalFormatting sqref="F305">
    <cfRule type="cellIs" dxfId="1411" priority="16037" operator="lessThan">
      <formula>-4100</formula>
    </cfRule>
  </conditionalFormatting>
  <conditionalFormatting sqref="F305">
    <cfRule type="cellIs" dxfId="1410" priority="16038" operator="greaterThanOrEqual">
      <formula>0</formula>
    </cfRule>
  </conditionalFormatting>
  <conditionalFormatting sqref="F305">
    <cfRule type="cellIs" dxfId="1409" priority="16039" operator="lessThan">
      <formula>-4100</formula>
    </cfRule>
  </conditionalFormatting>
  <conditionalFormatting sqref="F305">
    <cfRule type="cellIs" dxfId="1408" priority="16040" operator="greaterThanOrEqual">
      <formula>0</formula>
    </cfRule>
  </conditionalFormatting>
  <conditionalFormatting sqref="F305">
    <cfRule type="cellIs" dxfId="1407" priority="16041" operator="lessThan">
      <formula>-4100</formula>
    </cfRule>
  </conditionalFormatting>
  <conditionalFormatting sqref="E305">
    <cfRule type="cellIs" dxfId="1406" priority="16042" operator="greaterThan">
      <formula>0</formula>
    </cfRule>
  </conditionalFormatting>
  <conditionalFormatting sqref="F305">
    <cfRule type="cellIs" dxfId="1405" priority="16043" operator="greaterThanOrEqual">
      <formula>0</formula>
    </cfRule>
  </conditionalFormatting>
  <conditionalFormatting sqref="F305">
    <cfRule type="cellIs" dxfId="1404" priority="16044" operator="lessThan">
      <formula>-4100</formula>
    </cfRule>
  </conditionalFormatting>
  <conditionalFormatting sqref="F305">
    <cfRule type="cellIs" dxfId="1403" priority="16045" operator="greaterThanOrEqual">
      <formula>0</formula>
    </cfRule>
  </conditionalFormatting>
  <conditionalFormatting sqref="F305">
    <cfRule type="cellIs" dxfId="1402" priority="16046" operator="lessThan">
      <formula>-4100</formula>
    </cfRule>
  </conditionalFormatting>
  <conditionalFormatting sqref="F305">
    <cfRule type="cellIs" dxfId="1401" priority="16049" operator="greaterThanOrEqual">
      <formula>0</formula>
    </cfRule>
  </conditionalFormatting>
  <conditionalFormatting sqref="F305">
    <cfRule type="cellIs" dxfId="1400" priority="16050" operator="lessThan">
      <formula>-4100</formula>
    </cfRule>
  </conditionalFormatting>
  <conditionalFormatting sqref="F300">
    <cfRule type="cellIs" dxfId="1399" priority="16030" operator="lessThan">
      <formula>-4100</formula>
    </cfRule>
  </conditionalFormatting>
  <conditionalFormatting sqref="F300">
    <cfRule type="cellIs" dxfId="1398" priority="16031" operator="greaterThanOrEqual">
      <formula>0</formula>
    </cfRule>
  </conditionalFormatting>
  <conditionalFormatting sqref="F300">
    <cfRule type="cellIs" dxfId="1397" priority="16017" operator="greaterThanOrEqual">
      <formula>0</formula>
    </cfRule>
  </conditionalFormatting>
  <conditionalFormatting sqref="F300">
    <cfRule type="cellIs" dxfId="1396" priority="16018" operator="lessThan">
      <formula>-4100</formula>
    </cfRule>
  </conditionalFormatting>
  <conditionalFormatting sqref="F300">
    <cfRule type="cellIs" dxfId="1395" priority="16019" operator="greaterThanOrEqual">
      <formula>0</formula>
    </cfRule>
  </conditionalFormatting>
  <conditionalFormatting sqref="F300">
    <cfRule type="cellIs" dxfId="1394" priority="16020" operator="lessThan">
      <formula>-4100</formula>
    </cfRule>
  </conditionalFormatting>
  <conditionalFormatting sqref="F300">
    <cfRule type="cellIs" dxfId="1393" priority="16021" operator="greaterThanOrEqual">
      <formula>0</formula>
    </cfRule>
  </conditionalFormatting>
  <conditionalFormatting sqref="F300">
    <cfRule type="cellIs" dxfId="1392" priority="16022" operator="lessThan">
      <formula>-4100</formula>
    </cfRule>
  </conditionalFormatting>
  <conditionalFormatting sqref="F300">
    <cfRule type="cellIs" dxfId="1391" priority="16023" operator="greaterThanOrEqual">
      <formula>0</formula>
    </cfRule>
  </conditionalFormatting>
  <conditionalFormatting sqref="F300">
    <cfRule type="cellIs" dxfId="1390" priority="16024" operator="lessThan">
      <formula>-4100</formula>
    </cfRule>
  </conditionalFormatting>
  <conditionalFormatting sqref="E300">
    <cfRule type="cellIs" dxfId="1389" priority="16025" operator="greaterThan">
      <formula>0</formula>
    </cfRule>
  </conditionalFormatting>
  <conditionalFormatting sqref="F300">
    <cfRule type="cellIs" dxfId="1388" priority="16026" operator="greaterThanOrEqual">
      <formula>0</formula>
    </cfRule>
  </conditionalFormatting>
  <conditionalFormatting sqref="F300">
    <cfRule type="cellIs" dxfId="1387" priority="16027" operator="lessThan">
      <formula>-4100</formula>
    </cfRule>
  </conditionalFormatting>
  <conditionalFormatting sqref="F300">
    <cfRule type="cellIs" dxfId="1386" priority="16028" operator="greaterThanOrEqual">
      <formula>0</formula>
    </cfRule>
  </conditionalFormatting>
  <conditionalFormatting sqref="F300">
    <cfRule type="cellIs" dxfId="1385" priority="16029" operator="lessThan">
      <formula>-4100</formula>
    </cfRule>
  </conditionalFormatting>
  <conditionalFormatting sqref="F300">
    <cfRule type="cellIs" dxfId="1384" priority="16032" operator="greaterThanOrEqual">
      <formula>0</formula>
    </cfRule>
  </conditionalFormatting>
  <conditionalFormatting sqref="F300">
    <cfRule type="cellIs" dxfId="1383" priority="16033" operator="lessThan">
      <formula>-4100</formula>
    </cfRule>
  </conditionalFormatting>
  <conditionalFormatting sqref="F285">
    <cfRule type="cellIs" dxfId="1382" priority="15681" operator="lessThan">
      <formula>-4100</formula>
    </cfRule>
  </conditionalFormatting>
  <conditionalFormatting sqref="F285">
    <cfRule type="cellIs" dxfId="1381" priority="15682" operator="greaterThanOrEqual">
      <formula>0</formula>
    </cfRule>
  </conditionalFormatting>
  <conditionalFormatting sqref="F285">
    <cfRule type="cellIs" dxfId="1380" priority="15668" operator="greaterThanOrEqual">
      <formula>0</formula>
    </cfRule>
  </conditionalFormatting>
  <conditionalFormatting sqref="F285">
    <cfRule type="cellIs" dxfId="1379" priority="15669" operator="lessThan">
      <formula>-4100</formula>
    </cfRule>
  </conditionalFormatting>
  <conditionalFormatting sqref="F285">
    <cfRule type="cellIs" dxfId="1378" priority="15670" operator="greaterThanOrEqual">
      <formula>0</formula>
    </cfRule>
  </conditionalFormatting>
  <conditionalFormatting sqref="F285">
    <cfRule type="cellIs" dxfId="1377" priority="15671" operator="lessThan">
      <formula>-4100</formula>
    </cfRule>
  </conditionalFormatting>
  <conditionalFormatting sqref="F285">
    <cfRule type="cellIs" dxfId="1376" priority="15672" operator="greaterThanOrEqual">
      <formula>0</formula>
    </cfRule>
  </conditionalFormatting>
  <conditionalFormatting sqref="F285">
    <cfRule type="cellIs" dxfId="1375" priority="15673" operator="lessThan">
      <formula>-4100</formula>
    </cfRule>
  </conditionalFormatting>
  <conditionalFormatting sqref="F285">
    <cfRule type="cellIs" dxfId="1374" priority="15674" operator="greaterThanOrEqual">
      <formula>0</formula>
    </cfRule>
  </conditionalFormatting>
  <conditionalFormatting sqref="F285">
    <cfRule type="cellIs" dxfId="1373" priority="15675" operator="lessThan">
      <formula>-4100</formula>
    </cfRule>
  </conditionalFormatting>
  <conditionalFormatting sqref="E285">
    <cfRule type="cellIs" dxfId="1372" priority="15676" operator="greaterThan">
      <formula>0</formula>
    </cfRule>
  </conditionalFormatting>
  <conditionalFormatting sqref="F285">
    <cfRule type="cellIs" dxfId="1371" priority="15677" operator="greaterThanOrEqual">
      <formula>0</formula>
    </cfRule>
  </conditionalFormatting>
  <conditionalFormatting sqref="F285">
    <cfRule type="cellIs" dxfId="1370" priority="15678" operator="lessThan">
      <formula>-4100</formula>
    </cfRule>
  </conditionalFormatting>
  <conditionalFormatting sqref="F285">
    <cfRule type="cellIs" dxfId="1369" priority="15679" operator="greaterThanOrEqual">
      <formula>0</formula>
    </cfRule>
  </conditionalFormatting>
  <conditionalFormatting sqref="F285">
    <cfRule type="cellIs" dxfId="1368" priority="15680" operator="lessThan">
      <formula>-4100</formula>
    </cfRule>
  </conditionalFormatting>
  <conditionalFormatting sqref="F285">
    <cfRule type="cellIs" dxfId="1367" priority="15683" operator="greaterThanOrEqual">
      <formula>0</formula>
    </cfRule>
  </conditionalFormatting>
  <conditionalFormatting sqref="F285">
    <cfRule type="cellIs" dxfId="1366" priority="15684" operator="lessThan">
      <formula>-4100</formula>
    </cfRule>
  </conditionalFormatting>
  <conditionalFormatting sqref="E521">
    <cfRule type="cellIs" dxfId="1365" priority="14713" operator="greaterThan">
      <formula>0</formula>
    </cfRule>
  </conditionalFormatting>
  <conditionalFormatting sqref="H195">
    <cfRule type="expression" dxfId="1364" priority="14714">
      <formula>H195&lt;($D$3-6%)</formula>
    </cfRule>
  </conditionalFormatting>
  <conditionalFormatting sqref="H195">
    <cfRule type="expression" dxfId="1363" priority="14715">
      <formula>H195&gt;($D$3+6%)</formula>
    </cfRule>
  </conditionalFormatting>
  <conditionalFormatting sqref="H195">
    <cfRule type="expression" dxfId="1362" priority="14716">
      <formula>H195&lt;($D$3-3%)</formula>
    </cfRule>
  </conditionalFormatting>
  <conditionalFormatting sqref="H195">
    <cfRule type="expression" dxfId="1361" priority="14717">
      <formula>H195&gt;($D$3+3%)</formula>
    </cfRule>
  </conditionalFormatting>
  <conditionalFormatting sqref="H196">
    <cfRule type="expression" dxfId="1360" priority="14718">
      <formula>H196&lt;($D$3-6%)</formula>
    </cfRule>
  </conditionalFormatting>
  <conditionalFormatting sqref="H196">
    <cfRule type="expression" dxfId="1359" priority="14719">
      <formula>H196&gt;($D$3+6%)</formula>
    </cfRule>
  </conditionalFormatting>
  <conditionalFormatting sqref="H196">
    <cfRule type="expression" dxfId="1358" priority="14720">
      <formula>H196&lt;($D$3-3%)</formula>
    </cfRule>
  </conditionalFormatting>
  <conditionalFormatting sqref="H196">
    <cfRule type="expression" dxfId="1357" priority="14721">
      <formula>H196&gt;($D$3+3%)</formula>
    </cfRule>
  </conditionalFormatting>
  <conditionalFormatting sqref="F199">
    <cfRule type="cellIs" dxfId="1356" priority="14614" operator="lessThan">
      <formula>-4100</formula>
    </cfRule>
  </conditionalFormatting>
  <conditionalFormatting sqref="F199">
    <cfRule type="cellIs" dxfId="1355" priority="14615" operator="greaterThanOrEqual">
      <formula>0</formula>
    </cfRule>
  </conditionalFormatting>
  <conditionalFormatting sqref="F199">
    <cfRule type="cellIs" dxfId="1354" priority="14616" operator="greaterThanOrEqual">
      <formula>0</formula>
    </cfRule>
  </conditionalFormatting>
  <conditionalFormatting sqref="F199">
    <cfRule type="cellIs" dxfId="1353" priority="14617" operator="lessThan">
      <formula>-4100</formula>
    </cfRule>
  </conditionalFormatting>
  <conditionalFormatting sqref="F199">
    <cfRule type="cellIs" dxfId="1352" priority="14618" operator="greaterThanOrEqual">
      <formula>0</formula>
    </cfRule>
  </conditionalFormatting>
  <conditionalFormatting sqref="F199">
    <cfRule type="cellIs" dxfId="1351" priority="14619" operator="lessThan">
      <formula>-4100</formula>
    </cfRule>
  </conditionalFormatting>
  <conditionalFormatting sqref="F199">
    <cfRule type="cellIs" dxfId="1350" priority="14620" operator="greaterThanOrEqual">
      <formula>0</formula>
    </cfRule>
  </conditionalFormatting>
  <conditionalFormatting sqref="F199">
    <cfRule type="cellIs" dxfId="1349" priority="14621" operator="lessThan">
      <formula>-4100</formula>
    </cfRule>
  </conditionalFormatting>
  <conditionalFormatting sqref="F199">
    <cfRule type="cellIs" dxfId="1348" priority="14622" operator="greaterThanOrEqual">
      <formula>0</formula>
    </cfRule>
  </conditionalFormatting>
  <conditionalFormatting sqref="F199">
    <cfRule type="cellIs" dxfId="1347" priority="14623" operator="lessThan">
      <formula>-4100</formula>
    </cfRule>
  </conditionalFormatting>
  <conditionalFormatting sqref="F199">
    <cfRule type="cellIs" dxfId="1346" priority="14624" operator="lessThan">
      <formula>-4100</formula>
    </cfRule>
  </conditionalFormatting>
  <conditionalFormatting sqref="F199">
    <cfRule type="cellIs" dxfId="1345" priority="14625" operator="greaterThanOrEqual">
      <formula>0</formula>
    </cfRule>
  </conditionalFormatting>
  <conditionalFormatting sqref="F199">
    <cfRule type="cellIs" dxfId="1344" priority="14626" operator="greaterThanOrEqual">
      <formula>0</formula>
    </cfRule>
  </conditionalFormatting>
  <conditionalFormatting sqref="F199">
    <cfRule type="cellIs" dxfId="1343" priority="14627" operator="lessThan">
      <formula>-4100</formula>
    </cfRule>
  </conditionalFormatting>
  <conditionalFormatting sqref="F199">
    <cfRule type="cellIs" dxfId="1342" priority="14628" operator="greaterThanOrEqual">
      <formula>0</formula>
    </cfRule>
  </conditionalFormatting>
  <conditionalFormatting sqref="F199">
    <cfRule type="cellIs" dxfId="1341" priority="14629" operator="lessThan">
      <formula>-4100</formula>
    </cfRule>
  </conditionalFormatting>
  <conditionalFormatting sqref="E199">
    <cfRule type="cellIs" dxfId="1340" priority="14630" operator="greaterThan">
      <formula>0</formula>
    </cfRule>
  </conditionalFormatting>
  <conditionalFormatting sqref="F495">
    <cfRule type="cellIs" dxfId="1339" priority="13372" operator="greaterThanOrEqual">
      <formula>0</formula>
    </cfRule>
  </conditionalFormatting>
  <conditionalFormatting sqref="F495">
    <cfRule type="cellIs" dxfId="1338" priority="13373" operator="lessThan">
      <formula>-4100</formula>
    </cfRule>
  </conditionalFormatting>
  <conditionalFormatting sqref="F495">
    <cfRule type="cellIs" dxfId="1337" priority="13374" operator="greaterThanOrEqual">
      <formula>0</formula>
    </cfRule>
  </conditionalFormatting>
  <conditionalFormatting sqref="F495">
    <cfRule type="cellIs" dxfId="1336" priority="13375" operator="lessThan">
      <formula>-4100</formula>
    </cfRule>
  </conditionalFormatting>
  <conditionalFormatting sqref="F495">
    <cfRule type="cellIs" dxfId="1335" priority="13376" operator="greaterThanOrEqual">
      <formula>0</formula>
    </cfRule>
  </conditionalFormatting>
  <conditionalFormatting sqref="F495">
    <cfRule type="cellIs" dxfId="1334" priority="13377" operator="lessThan">
      <formula>-4100</formula>
    </cfRule>
  </conditionalFormatting>
  <conditionalFormatting sqref="F495">
    <cfRule type="cellIs" dxfId="1333" priority="13378" operator="greaterThanOrEqual">
      <formula>0</formula>
    </cfRule>
  </conditionalFormatting>
  <conditionalFormatting sqref="F495">
    <cfRule type="cellIs" dxfId="1332" priority="13379" operator="lessThan">
      <formula>-4100</formula>
    </cfRule>
  </conditionalFormatting>
  <conditionalFormatting sqref="F495">
    <cfRule type="cellIs" dxfId="1331" priority="13380" operator="greaterThanOrEqual">
      <formula>0</formula>
    </cfRule>
  </conditionalFormatting>
  <conditionalFormatting sqref="F495">
    <cfRule type="cellIs" dxfId="1330" priority="13381" operator="lessThan">
      <formula>-4100</formula>
    </cfRule>
  </conditionalFormatting>
  <conditionalFormatting sqref="F495">
    <cfRule type="cellIs" dxfId="1329" priority="13382" operator="greaterThanOrEqual">
      <formula>0</formula>
    </cfRule>
  </conditionalFormatting>
  <conditionalFormatting sqref="F495">
    <cfRule type="cellIs" dxfId="1328" priority="13383" operator="lessThan">
      <formula>-4100</formula>
    </cfRule>
  </conditionalFormatting>
  <conditionalFormatting sqref="F495">
    <cfRule type="cellIs" dxfId="1327" priority="13384" operator="greaterThanOrEqual">
      <formula>0</formula>
    </cfRule>
  </conditionalFormatting>
  <conditionalFormatting sqref="F495">
    <cfRule type="cellIs" dxfId="1326" priority="13385" operator="lessThan">
      <formula>-4100</formula>
    </cfRule>
  </conditionalFormatting>
  <conditionalFormatting sqref="F495">
    <cfRule type="cellIs" dxfId="1325" priority="13386" operator="greaterThanOrEqual">
      <formula>0</formula>
    </cfRule>
  </conditionalFormatting>
  <conditionalFormatting sqref="F495">
    <cfRule type="cellIs" dxfId="1324" priority="13387" operator="lessThan">
      <formula>-4100</formula>
    </cfRule>
  </conditionalFormatting>
  <conditionalFormatting sqref="E495">
    <cfRule type="cellIs" dxfId="1323" priority="13388" operator="greaterThan">
      <formula>0</formula>
    </cfRule>
  </conditionalFormatting>
  <conditionalFormatting sqref="F500">
    <cfRule type="cellIs" dxfId="1322" priority="13225" operator="greaterThanOrEqual">
      <formula>0</formula>
    </cfRule>
  </conditionalFormatting>
  <conditionalFormatting sqref="F500">
    <cfRule type="cellIs" dxfId="1321" priority="13226" operator="lessThan">
      <formula>-4100</formula>
    </cfRule>
  </conditionalFormatting>
  <conditionalFormatting sqref="F500">
    <cfRule type="cellIs" dxfId="1320" priority="13227" operator="greaterThanOrEqual">
      <formula>0</formula>
    </cfRule>
  </conditionalFormatting>
  <conditionalFormatting sqref="F500">
    <cfRule type="cellIs" dxfId="1319" priority="13228" operator="lessThan">
      <formula>-4100</formula>
    </cfRule>
  </conditionalFormatting>
  <conditionalFormatting sqref="F500">
    <cfRule type="cellIs" dxfId="1318" priority="13229" operator="greaterThanOrEqual">
      <formula>0</formula>
    </cfRule>
  </conditionalFormatting>
  <conditionalFormatting sqref="F500">
    <cfRule type="cellIs" dxfId="1317" priority="13230" operator="lessThan">
      <formula>-4100</formula>
    </cfRule>
  </conditionalFormatting>
  <conditionalFormatting sqref="F500">
    <cfRule type="cellIs" dxfId="1316" priority="13231" operator="greaterThanOrEqual">
      <formula>0</formula>
    </cfRule>
  </conditionalFormatting>
  <conditionalFormatting sqref="F500">
    <cfRule type="cellIs" dxfId="1315" priority="13232" operator="lessThan">
      <formula>-4100</formula>
    </cfRule>
  </conditionalFormatting>
  <conditionalFormatting sqref="F500">
    <cfRule type="cellIs" dxfId="1314" priority="13233" operator="greaterThanOrEqual">
      <formula>0</formula>
    </cfRule>
  </conditionalFormatting>
  <conditionalFormatting sqref="F500">
    <cfRule type="cellIs" dxfId="1313" priority="13234" operator="lessThan">
      <formula>-4100</formula>
    </cfRule>
  </conditionalFormatting>
  <conditionalFormatting sqref="F500">
    <cfRule type="cellIs" dxfId="1312" priority="13235" operator="greaterThanOrEqual">
      <formula>0</formula>
    </cfRule>
  </conditionalFormatting>
  <conditionalFormatting sqref="F500">
    <cfRule type="cellIs" dxfId="1311" priority="13236" operator="lessThan">
      <formula>-4100</formula>
    </cfRule>
  </conditionalFormatting>
  <conditionalFormatting sqref="F500">
    <cfRule type="cellIs" dxfId="1310" priority="13237" operator="greaterThanOrEqual">
      <formula>0</formula>
    </cfRule>
  </conditionalFormatting>
  <conditionalFormatting sqref="F500">
    <cfRule type="cellIs" dxfId="1309" priority="13238" operator="lessThan">
      <formula>-4100</formula>
    </cfRule>
  </conditionalFormatting>
  <conditionalFormatting sqref="F500">
    <cfRule type="cellIs" dxfId="1308" priority="13239" operator="greaterThanOrEqual">
      <formula>0</formula>
    </cfRule>
  </conditionalFormatting>
  <conditionalFormatting sqref="F500">
    <cfRule type="cellIs" dxfId="1307" priority="13240" operator="lessThan">
      <formula>-4100</formula>
    </cfRule>
  </conditionalFormatting>
  <conditionalFormatting sqref="E500">
    <cfRule type="cellIs" dxfId="1306" priority="13241" operator="greaterThan">
      <formula>0</formula>
    </cfRule>
  </conditionalFormatting>
  <conditionalFormatting sqref="F505">
    <cfRule type="cellIs" dxfId="1305" priority="13199" operator="greaterThanOrEqual">
      <formula>0</formula>
    </cfRule>
  </conditionalFormatting>
  <conditionalFormatting sqref="F505">
    <cfRule type="cellIs" dxfId="1304" priority="13200" operator="lessThan">
      <formula>-4100</formula>
    </cfRule>
  </conditionalFormatting>
  <conditionalFormatting sqref="F505">
    <cfRule type="cellIs" dxfId="1303" priority="13201" operator="greaterThanOrEqual">
      <formula>0</formula>
    </cfRule>
  </conditionalFormatting>
  <conditionalFormatting sqref="F505">
    <cfRule type="cellIs" dxfId="1302" priority="13202" operator="lessThan">
      <formula>-4100</formula>
    </cfRule>
  </conditionalFormatting>
  <conditionalFormatting sqref="F505">
    <cfRule type="cellIs" dxfId="1301" priority="13203" operator="greaterThanOrEqual">
      <formula>0</formula>
    </cfRule>
  </conditionalFormatting>
  <conditionalFormatting sqref="F505">
    <cfRule type="cellIs" dxfId="1300" priority="13204" operator="lessThan">
      <formula>-4100</formula>
    </cfRule>
  </conditionalFormatting>
  <conditionalFormatting sqref="F505">
    <cfRule type="cellIs" dxfId="1299" priority="13205" operator="greaterThanOrEqual">
      <formula>0</formula>
    </cfRule>
  </conditionalFormatting>
  <conditionalFormatting sqref="F505">
    <cfRule type="cellIs" dxfId="1298" priority="13206" operator="lessThan">
      <formula>-4100</formula>
    </cfRule>
  </conditionalFormatting>
  <conditionalFormatting sqref="F505">
    <cfRule type="cellIs" dxfId="1297" priority="13207" operator="greaterThanOrEqual">
      <formula>0</formula>
    </cfRule>
  </conditionalFormatting>
  <conditionalFormatting sqref="F505">
    <cfRule type="cellIs" dxfId="1296" priority="13208" operator="lessThan">
      <formula>-4100</formula>
    </cfRule>
  </conditionalFormatting>
  <conditionalFormatting sqref="F505">
    <cfRule type="cellIs" dxfId="1295" priority="13209" operator="greaterThanOrEqual">
      <formula>0</formula>
    </cfRule>
  </conditionalFormatting>
  <conditionalFormatting sqref="F505">
    <cfRule type="cellIs" dxfId="1294" priority="13210" operator="lessThan">
      <formula>-4100</formula>
    </cfRule>
  </conditionalFormatting>
  <conditionalFormatting sqref="F505">
    <cfRule type="cellIs" dxfId="1293" priority="13211" operator="greaterThanOrEqual">
      <formula>0</formula>
    </cfRule>
  </conditionalFormatting>
  <conditionalFormatting sqref="F505">
    <cfRule type="cellIs" dxfId="1292" priority="13212" operator="lessThan">
      <formula>-4100</formula>
    </cfRule>
  </conditionalFormatting>
  <conditionalFormatting sqref="F505">
    <cfRule type="cellIs" dxfId="1291" priority="13213" operator="greaterThanOrEqual">
      <formula>0</formula>
    </cfRule>
  </conditionalFormatting>
  <conditionalFormatting sqref="F505">
    <cfRule type="cellIs" dxfId="1290" priority="13214" operator="lessThan">
      <formula>-4100</formula>
    </cfRule>
  </conditionalFormatting>
  <conditionalFormatting sqref="E505">
    <cfRule type="cellIs" dxfId="1289" priority="13215" operator="greaterThan">
      <formula>0</formula>
    </cfRule>
  </conditionalFormatting>
  <conditionalFormatting sqref="F510">
    <cfRule type="cellIs" dxfId="1288" priority="13156" operator="greaterThanOrEqual">
      <formula>0</formula>
    </cfRule>
  </conditionalFormatting>
  <conditionalFormatting sqref="F510">
    <cfRule type="cellIs" dxfId="1287" priority="13157" operator="lessThan">
      <formula>-4100</formula>
    </cfRule>
  </conditionalFormatting>
  <conditionalFormatting sqref="F510">
    <cfRule type="cellIs" dxfId="1286" priority="13158" operator="greaterThanOrEqual">
      <formula>0</formula>
    </cfRule>
  </conditionalFormatting>
  <conditionalFormatting sqref="F510">
    <cfRule type="cellIs" dxfId="1285" priority="13159" operator="lessThan">
      <formula>-4100</formula>
    </cfRule>
  </conditionalFormatting>
  <conditionalFormatting sqref="F510">
    <cfRule type="cellIs" dxfId="1284" priority="13160" operator="greaterThanOrEqual">
      <formula>0</formula>
    </cfRule>
  </conditionalFormatting>
  <conditionalFormatting sqref="F510">
    <cfRule type="cellIs" dxfId="1283" priority="13161" operator="lessThan">
      <formula>-4100</formula>
    </cfRule>
  </conditionalFormatting>
  <conditionalFormatting sqref="F510">
    <cfRule type="cellIs" dxfId="1282" priority="13162" operator="greaterThanOrEqual">
      <formula>0</formula>
    </cfRule>
  </conditionalFormatting>
  <conditionalFormatting sqref="F510">
    <cfRule type="cellIs" dxfId="1281" priority="13163" operator="lessThan">
      <formula>-4100</formula>
    </cfRule>
  </conditionalFormatting>
  <conditionalFormatting sqref="F510">
    <cfRule type="cellIs" dxfId="1280" priority="13164" operator="greaterThanOrEqual">
      <formula>0</formula>
    </cfRule>
  </conditionalFormatting>
  <conditionalFormatting sqref="F510">
    <cfRule type="cellIs" dxfId="1279" priority="13165" operator="lessThan">
      <formula>-4100</formula>
    </cfRule>
  </conditionalFormatting>
  <conditionalFormatting sqref="F510">
    <cfRule type="cellIs" dxfId="1278" priority="13166" operator="greaterThanOrEqual">
      <formula>0</formula>
    </cfRule>
  </conditionalFormatting>
  <conditionalFormatting sqref="F510">
    <cfRule type="cellIs" dxfId="1277" priority="13167" operator="lessThan">
      <formula>-4100</formula>
    </cfRule>
  </conditionalFormatting>
  <conditionalFormatting sqref="F510">
    <cfRule type="cellIs" dxfId="1276" priority="13168" operator="greaterThanOrEqual">
      <formula>0</formula>
    </cfRule>
  </conditionalFormatting>
  <conditionalFormatting sqref="F510">
    <cfRule type="cellIs" dxfId="1275" priority="13169" operator="lessThan">
      <formula>-4100</formula>
    </cfRule>
  </conditionalFormatting>
  <conditionalFormatting sqref="F510">
    <cfRule type="cellIs" dxfId="1274" priority="13170" operator="greaterThanOrEqual">
      <formula>0</formula>
    </cfRule>
  </conditionalFormatting>
  <conditionalFormatting sqref="F510">
    <cfRule type="cellIs" dxfId="1273" priority="13171" operator="lessThan">
      <formula>-4100</formula>
    </cfRule>
  </conditionalFormatting>
  <conditionalFormatting sqref="E510">
    <cfRule type="cellIs" dxfId="1272" priority="13172" operator="greaterThan">
      <formula>0</formula>
    </cfRule>
  </conditionalFormatting>
  <conditionalFormatting sqref="F515">
    <cfRule type="cellIs" dxfId="1271" priority="13017" operator="greaterThanOrEqual">
      <formula>0</formula>
    </cfRule>
  </conditionalFormatting>
  <conditionalFormatting sqref="F515">
    <cfRule type="cellIs" dxfId="1270" priority="13018" operator="lessThan">
      <formula>-4100</formula>
    </cfRule>
  </conditionalFormatting>
  <conditionalFormatting sqref="F515">
    <cfRule type="cellIs" dxfId="1269" priority="13019" operator="greaterThanOrEqual">
      <formula>0</formula>
    </cfRule>
  </conditionalFormatting>
  <conditionalFormatting sqref="F515">
    <cfRule type="cellIs" dxfId="1268" priority="13020" operator="lessThan">
      <formula>-4100</formula>
    </cfRule>
  </conditionalFormatting>
  <conditionalFormatting sqref="F515">
    <cfRule type="cellIs" dxfId="1267" priority="13021" operator="greaterThanOrEqual">
      <formula>0</formula>
    </cfRule>
  </conditionalFormatting>
  <conditionalFormatting sqref="F515">
    <cfRule type="cellIs" dxfId="1266" priority="13022" operator="lessThan">
      <formula>-4100</formula>
    </cfRule>
  </conditionalFormatting>
  <conditionalFormatting sqref="F515">
    <cfRule type="cellIs" dxfId="1265" priority="13023" operator="greaterThanOrEqual">
      <formula>0</formula>
    </cfRule>
  </conditionalFormatting>
  <conditionalFormatting sqref="F515">
    <cfRule type="cellIs" dxfId="1264" priority="13024" operator="lessThan">
      <formula>-4100</formula>
    </cfRule>
  </conditionalFormatting>
  <conditionalFormatting sqref="F515">
    <cfRule type="cellIs" dxfId="1263" priority="13025" operator="greaterThanOrEqual">
      <formula>0</formula>
    </cfRule>
  </conditionalFormatting>
  <conditionalFormatting sqref="F515">
    <cfRule type="cellIs" dxfId="1262" priority="13026" operator="lessThan">
      <formula>-4100</formula>
    </cfRule>
  </conditionalFormatting>
  <conditionalFormatting sqref="F515">
    <cfRule type="cellIs" dxfId="1261" priority="13027" operator="greaterThanOrEqual">
      <formula>0</formula>
    </cfRule>
  </conditionalFormatting>
  <conditionalFormatting sqref="F515">
    <cfRule type="cellIs" dxfId="1260" priority="13028" operator="lessThan">
      <formula>-4100</formula>
    </cfRule>
  </conditionalFormatting>
  <conditionalFormatting sqref="F515">
    <cfRule type="cellIs" dxfId="1259" priority="13029" operator="greaterThanOrEqual">
      <formula>0</formula>
    </cfRule>
  </conditionalFormatting>
  <conditionalFormatting sqref="F515">
    <cfRule type="cellIs" dxfId="1258" priority="13030" operator="lessThan">
      <formula>-4100</formula>
    </cfRule>
  </conditionalFormatting>
  <conditionalFormatting sqref="F515">
    <cfRule type="cellIs" dxfId="1257" priority="13031" operator="greaterThanOrEqual">
      <formula>0</formula>
    </cfRule>
  </conditionalFormatting>
  <conditionalFormatting sqref="F515">
    <cfRule type="cellIs" dxfId="1256" priority="13032" operator="lessThan">
      <formula>-4100</formula>
    </cfRule>
  </conditionalFormatting>
  <conditionalFormatting sqref="E515">
    <cfRule type="cellIs" dxfId="1255" priority="13033" operator="greaterThan">
      <formula>0</formula>
    </cfRule>
  </conditionalFormatting>
  <conditionalFormatting sqref="F420">
    <cfRule type="cellIs" dxfId="1254" priority="13000" operator="greaterThanOrEqual">
      <formula>0</formula>
    </cfRule>
  </conditionalFormatting>
  <conditionalFormatting sqref="F420">
    <cfRule type="cellIs" dxfId="1253" priority="13001" operator="lessThan">
      <formula>-4100</formula>
    </cfRule>
  </conditionalFormatting>
  <conditionalFormatting sqref="F420">
    <cfRule type="cellIs" dxfId="1252" priority="13002" operator="greaterThanOrEqual">
      <formula>0</formula>
    </cfRule>
  </conditionalFormatting>
  <conditionalFormatting sqref="F420">
    <cfRule type="cellIs" dxfId="1251" priority="13003" operator="lessThan">
      <formula>-4100</formula>
    </cfRule>
  </conditionalFormatting>
  <conditionalFormatting sqref="F420">
    <cfRule type="cellIs" dxfId="1250" priority="13004" operator="greaterThanOrEqual">
      <formula>0</formula>
    </cfRule>
  </conditionalFormatting>
  <conditionalFormatting sqref="F420">
    <cfRule type="cellIs" dxfId="1249" priority="13005" operator="lessThan">
      <formula>-4100</formula>
    </cfRule>
  </conditionalFormatting>
  <conditionalFormatting sqref="F420">
    <cfRule type="cellIs" dxfId="1248" priority="13006" operator="greaterThanOrEqual">
      <formula>0</formula>
    </cfRule>
  </conditionalFormatting>
  <conditionalFormatting sqref="F420">
    <cfRule type="cellIs" dxfId="1247" priority="13007" operator="lessThan">
      <formula>-4100</formula>
    </cfRule>
  </conditionalFormatting>
  <conditionalFormatting sqref="F420">
    <cfRule type="cellIs" dxfId="1246" priority="13008" operator="greaterThanOrEqual">
      <formula>0</formula>
    </cfRule>
  </conditionalFormatting>
  <conditionalFormatting sqref="F420">
    <cfRule type="cellIs" dxfId="1245" priority="13009" operator="lessThan">
      <formula>-4100</formula>
    </cfRule>
  </conditionalFormatting>
  <conditionalFormatting sqref="F420">
    <cfRule type="cellIs" dxfId="1244" priority="13010" operator="greaterThanOrEqual">
      <formula>0</formula>
    </cfRule>
  </conditionalFormatting>
  <conditionalFormatting sqref="F420">
    <cfRule type="cellIs" dxfId="1243" priority="13011" operator="lessThan">
      <formula>-4100</formula>
    </cfRule>
  </conditionalFormatting>
  <conditionalFormatting sqref="F420">
    <cfRule type="cellIs" dxfId="1242" priority="13012" operator="greaterThanOrEqual">
      <formula>0</formula>
    </cfRule>
  </conditionalFormatting>
  <conditionalFormatting sqref="F420">
    <cfRule type="cellIs" dxfId="1241" priority="13013" operator="lessThan">
      <formula>-4100</formula>
    </cfRule>
  </conditionalFormatting>
  <conditionalFormatting sqref="F420">
    <cfRule type="cellIs" dxfId="1240" priority="13014" operator="greaterThanOrEqual">
      <formula>0</formula>
    </cfRule>
  </conditionalFormatting>
  <conditionalFormatting sqref="F420">
    <cfRule type="cellIs" dxfId="1239" priority="13015" operator="lessThan">
      <formula>-4100</formula>
    </cfRule>
  </conditionalFormatting>
  <conditionalFormatting sqref="E420">
    <cfRule type="cellIs" dxfId="1238" priority="13016" operator="greaterThan">
      <formula>0</formula>
    </cfRule>
  </conditionalFormatting>
  <conditionalFormatting sqref="H75">
    <cfRule type="expression" dxfId="1237" priority="12785">
      <formula>H75&lt;($D$3-6%)</formula>
    </cfRule>
  </conditionalFormatting>
  <conditionalFormatting sqref="H75">
    <cfRule type="expression" dxfId="1236" priority="12786">
      <formula>H75&gt;($D$3+6%)</formula>
    </cfRule>
  </conditionalFormatting>
  <conditionalFormatting sqref="H75">
    <cfRule type="expression" dxfId="1235" priority="12787">
      <formula>H75&lt;($D$3-3%)</formula>
    </cfRule>
  </conditionalFormatting>
  <conditionalFormatting sqref="H75">
    <cfRule type="expression" dxfId="1234" priority="12788">
      <formula>H75&gt;($D$3+3%)</formula>
    </cfRule>
  </conditionalFormatting>
  <conditionalFormatting sqref="H76">
    <cfRule type="expression" dxfId="1233" priority="12789">
      <formula>H76&lt;($D$3-6%)</formula>
    </cfRule>
  </conditionalFormatting>
  <conditionalFormatting sqref="H76">
    <cfRule type="expression" dxfId="1232" priority="12790">
      <formula>H76&gt;($D$3+6%)</formula>
    </cfRule>
  </conditionalFormatting>
  <conditionalFormatting sqref="H76">
    <cfRule type="expression" dxfId="1231" priority="12791">
      <formula>H76&lt;($D$3-3%)</formula>
    </cfRule>
  </conditionalFormatting>
  <conditionalFormatting sqref="H76">
    <cfRule type="expression" dxfId="1230" priority="12792">
      <formula>H76&gt;($D$3+3%)</formula>
    </cfRule>
  </conditionalFormatting>
  <conditionalFormatting sqref="F79">
    <cfRule type="cellIs" dxfId="1229" priority="12768" operator="lessThan">
      <formula>-4100</formula>
    </cfRule>
  </conditionalFormatting>
  <conditionalFormatting sqref="F79">
    <cfRule type="cellIs" dxfId="1228" priority="12769" operator="greaterThanOrEqual">
      <formula>0</formula>
    </cfRule>
  </conditionalFormatting>
  <conditionalFormatting sqref="F79">
    <cfRule type="cellIs" dxfId="1227" priority="12770" operator="greaterThanOrEqual">
      <formula>0</formula>
    </cfRule>
  </conditionalFormatting>
  <conditionalFormatting sqref="F79">
    <cfRule type="cellIs" dxfId="1226" priority="12771" operator="lessThan">
      <formula>-4100</formula>
    </cfRule>
  </conditionalFormatting>
  <conditionalFormatting sqref="F79">
    <cfRule type="cellIs" dxfId="1225" priority="12772" operator="greaterThanOrEqual">
      <formula>0</formula>
    </cfRule>
  </conditionalFormatting>
  <conditionalFormatting sqref="F79">
    <cfRule type="cellIs" dxfId="1224" priority="12773" operator="lessThan">
      <formula>-4100</formula>
    </cfRule>
  </conditionalFormatting>
  <conditionalFormatting sqref="F79">
    <cfRule type="cellIs" dxfId="1223" priority="12774" operator="greaterThanOrEqual">
      <formula>0</formula>
    </cfRule>
  </conditionalFormatting>
  <conditionalFormatting sqref="F79">
    <cfRule type="cellIs" dxfId="1222" priority="12775" operator="lessThan">
      <formula>-4100</formula>
    </cfRule>
  </conditionalFormatting>
  <conditionalFormatting sqref="F79">
    <cfRule type="cellIs" dxfId="1221" priority="12776" operator="greaterThanOrEqual">
      <formula>0</formula>
    </cfRule>
  </conditionalFormatting>
  <conditionalFormatting sqref="F79">
    <cfRule type="cellIs" dxfId="1220" priority="12777" operator="lessThan">
      <formula>-4100</formula>
    </cfRule>
  </conditionalFormatting>
  <conditionalFormatting sqref="F79">
    <cfRule type="cellIs" dxfId="1219" priority="12778" operator="lessThan">
      <formula>-4100</formula>
    </cfRule>
  </conditionalFormatting>
  <conditionalFormatting sqref="F79">
    <cfRule type="cellIs" dxfId="1218" priority="12779" operator="greaterThanOrEqual">
      <formula>0</formula>
    </cfRule>
  </conditionalFormatting>
  <conditionalFormatting sqref="F79">
    <cfRule type="cellIs" dxfId="1217" priority="12780" operator="greaterThanOrEqual">
      <formula>0</formula>
    </cfRule>
  </conditionalFormatting>
  <conditionalFormatting sqref="F79">
    <cfRule type="cellIs" dxfId="1216" priority="12781" operator="lessThan">
      <formula>-4100</formula>
    </cfRule>
  </conditionalFormatting>
  <conditionalFormatting sqref="F79">
    <cfRule type="cellIs" dxfId="1215" priority="12782" operator="greaterThanOrEqual">
      <formula>0</formula>
    </cfRule>
  </conditionalFormatting>
  <conditionalFormatting sqref="F79">
    <cfRule type="cellIs" dxfId="1214" priority="12783" operator="lessThan">
      <formula>-4100</formula>
    </cfRule>
  </conditionalFormatting>
  <conditionalFormatting sqref="E79">
    <cfRule type="cellIs" dxfId="1213" priority="12784" operator="greaterThan">
      <formula>0</formula>
    </cfRule>
  </conditionalFormatting>
  <conditionalFormatting sqref="F149">
    <cfRule type="cellIs" dxfId="1212" priority="11666" operator="lessThan">
      <formula>-4100</formula>
    </cfRule>
  </conditionalFormatting>
  <conditionalFormatting sqref="F149">
    <cfRule type="cellIs" dxfId="1211" priority="11667" operator="greaterThanOrEqual">
      <formula>0</formula>
    </cfRule>
  </conditionalFormatting>
  <conditionalFormatting sqref="F149">
    <cfRule type="cellIs" dxfId="1210" priority="11668" operator="greaterThanOrEqual">
      <formula>0</formula>
    </cfRule>
  </conditionalFormatting>
  <conditionalFormatting sqref="F149">
    <cfRule type="cellIs" dxfId="1209" priority="11669" operator="lessThan">
      <formula>-4100</formula>
    </cfRule>
  </conditionalFormatting>
  <conditionalFormatting sqref="F149">
    <cfRule type="cellIs" dxfId="1208" priority="11670" operator="greaterThanOrEqual">
      <formula>0</formula>
    </cfRule>
  </conditionalFormatting>
  <conditionalFormatting sqref="F149">
    <cfRule type="cellIs" dxfId="1207" priority="11671" operator="lessThan">
      <formula>-4100</formula>
    </cfRule>
  </conditionalFormatting>
  <conditionalFormatting sqref="F149">
    <cfRule type="cellIs" dxfId="1206" priority="11672" operator="greaterThanOrEqual">
      <formula>0</formula>
    </cfRule>
  </conditionalFormatting>
  <conditionalFormatting sqref="F149">
    <cfRule type="cellIs" dxfId="1205" priority="11673" operator="lessThan">
      <formula>-4100</formula>
    </cfRule>
  </conditionalFormatting>
  <conditionalFormatting sqref="F149">
    <cfRule type="cellIs" dxfId="1204" priority="11674" operator="greaterThanOrEqual">
      <formula>0</formula>
    </cfRule>
  </conditionalFormatting>
  <conditionalFormatting sqref="F149">
    <cfRule type="cellIs" dxfId="1203" priority="11675" operator="lessThan">
      <formula>-4100</formula>
    </cfRule>
  </conditionalFormatting>
  <conditionalFormatting sqref="F149">
    <cfRule type="cellIs" dxfId="1202" priority="11676" operator="lessThan">
      <formula>-4100</formula>
    </cfRule>
  </conditionalFormatting>
  <conditionalFormatting sqref="F149">
    <cfRule type="cellIs" dxfId="1201" priority="11677" operator="greaterThanOrEqual">
      <formula>0</formula>
    </cfRule>
  </conditionalFormatting>
  <conditionalFormatting sqref="F149">
    <cfRule type="cellIs" dxfId="1200" priority="11678" operator="greaterThanOrEqual">
      <formula>0</formula>
    </cfRule>
  </conditionalFormatting>
  <conditionalFormatting sqref="F149">
    <cfRule type="cellIs" dxfId="1199" priority="11679" operator="lessThan">
      <formula>-4100</formula>
    </cfRule>
  </conditionalFormatting>
  <conditionalFormatting sqref="F149">
    <cfRule type="cellIs" dxfId="1198" priority="11680" operator="greaterThanOrEqual">
      <formula>0</formula>
    </cfRule>
  </conditionalFormatting>
  <conditionalFormatting sqref="F149">
    <cfRule type="cellIs" dxfId="1197" priority="11681" operator="lessThan">
      <formula>-4100</formula>
    </cfRule>
  </conditionalFormatting>
  <conditionalFormatting sqref="E149">
    <cfRule type="cellIs" dxfId="1196" priority="11682" operator="greaterThan">
      <formula>0</formula>
    </cfRule>
  </conditionalFormatting>
  <conditionalFormatting sqref="F325">
    <cfRule type="cellIs" dxfId="1195" priority="11555" operator="lessThan">
      <formula>-4100</formula>
    </cfRule>
  </conditionalFormatting>
  <conditionalFormatting sqref="F325">
    <cfRule type="cellIs" dxfId="1194" priority="11556" operator="greaterThanOrEqual">
      <formula>0</formula>
    </cfRule>
  </conditionalFormatting>
  <conditionalFormatting sqref="F325">
    <cfRule type="cellIs" dxfId="1193" priority="11557" operator="greaterThanOrEqual">
      <formula>0</formula>
    </cfRule>
  </conditionalFormatting>
  <conditionalFormatting sqref="F325">
    <cfRule type="cellIs" dxfId="1192" priority="11558" operator="lessThan">
      <formula>-4100</formula>
    </cfRule>
  </conditionalFormatting>
  <conditionalFormatting sqref="F325">
    <cfRule type="cellIs" dxfId="1191" priority="11559" operator="greaterThanOrEqual">
      <formula>0</formula>
    </cfRule>
  </conditionalFormatting>
  <conditionalFormatting sqref="F325">
    <cfRule type="cellIs" dxfId="1190" priority="11560" operator="lessThan">
      <formula>-4100</formula>
    </cfRule>
  </conditionalFormatting>
  <conditionalFormatting sqref="F325">
    <cfRule type="cellIs" dxfId="1189" priority="11561" operator="greaterThanOrEqual">
      <formula>0</formula>
    </cfRule>
  </conditionalFormatting>
  <conditionalFormatting sqref="F325">
    <cfRule type="cellIs" dxfId="1188" priority="11562" operator="lessThan">
      <formula>-4100</formula>
    </cfRule>
  </conditionalFormatting>
  <conditionalFormatting sqref="E325">
    <cfRule type="cellIs" dxfId="1187" priority="11563" operator="greaterThan">
      <formula>0</formula>
    </cfRule>
  </conditionalFormatting>
  <conditionalFormatting sqref="H165">
    <cfRule type="expression" dxfId="1186" priority="11093">
      <formula>H165&lt;($D$3-6%)</formula>
    </cfRule>
  </conditionalFormatting>
  <conditionalFormatting sqref="H165">
    <cfRule type="expression" dxfId="1185" priority="11094">
      <formula>H165&gt;($D$3+6%)</formula>
    </cfRule>
  </conditionalFormatting>
  <conditionalFormatting sqref="H165">
    <cfRule type="expression" dxfId="1184" priority="11095">
      <formula>H165&lt;($D$3-3%)</formula>
    </cfRule>
  </conditionalFormatting>
  <conditionalFormatting sqref="H165">
    <cfRule type="expression" dxfId="1183" priority="11096">
      <formula>H165&gt;($D$3+3%)</formula>
    </cfRule>
  </conditionalFormatting>
  <conditionalFormatting sqref="H166">
    <cfRule type="expression" dxfId="1182" priority="11097">
      <formula>H166&lt;($D$3-6%)</formula>
    </cfRule>
  </conditionalFormatting>
  <conditionalFormatting sqref="H166">
    <cfRule type="expression" dxfId="1181" priority="11098">
      <formula>H166&gt;($D$3+6%)</formula>
    </cfRule>
  </conditionalFormatting>
  <conditionalFormatting sqref="H166">
    <cfRule type="expression" dxfId="1180" priority="11099">
      <formula>H166&lt;($D$3-3%)</formula>
    </cfRule>
  </conditionalFormatting>
  <conditionalFormatting sqref="H166">
    <cfRule type="expression" dxfId="1179" priority="11100">
      <formula>H166&gt;($D$3+3%)</formula>
    </cfRule>
  </conditionalFormatting>
  <conditionalFormatting sqref="F410">
    <cfRule type="cellIs" dxfId="1178" priority="9847" operator="lessThan">
      <formula>-4100</formula>
    </cfRule>
  </conditionalFormatting>
  <conditionalFormatting sqref="F410">
    <cfRule type="cellIs" dxfId="1177" priority="9848" operator="greaterThanOrEqual">
      <formula>0</formula>
    </cfRule>
  </conditionalFormatting>
  <conditionalFormatting sqref="F410">
    <cfRule type="cellIs" dxfId="1176" priority="9849" operator="greaterThanOrEqual">
      <formula>0</formula>
    </cfRule>
  </conditionalFormatting>
  <conditionalFormatting sqref="F410">
    <cfRule type="cellIs" dxfId="1175" priority="9850" operator="lessThan">
      <formula>-4100</formula>
    </cfRule>
  </conditionalFormatting>
  <conditionalFormatting sqref="F410">
    <cfRule type="cellIs" dxfId="1174" priority="9851" operator="greaterThanOrEqual">
      <formula>0</formula>
    </cfRule>
  </conditionalFormatting>
  <conditionalFormatting sqref="F410">
    <cfRule type="cellIs" dxfId="1173" priority="9852" operator="lessThan">
      <formula>-4100</formula>
    </cfRule>
  </conditionalFormatting>
  <conditionalFormatting sqref="F410">
    <cfRule type="cellIs" dxfId="1172" priority="9853" operator="greaterThanOrEqual">
      <formula>0</formula>
    </cfRule>
  </conditionalFormatting>
  <conditionalFormatting sqref="F410">
    <cfRule type="cellIs" dxfId="1171" priority="9854" operator="lessThan">
      <formula>-4100</formula>
    </cfRule>
  </conditionalFormatting>
  <conditionalFormatting sqref="E410">
    <cfRule type="cellIs" dxfId="1170" priority="9855" operator="greaterThan">
      <formula>0</formula>
    </cfRule>
  </conditionalFormatting>
  <conditionalFormatting sqref="F405">
    <cfRule type="cellIs" dxfId="1169" priority="9838" operator="lessThan">
      <formula>-4100</formula>
    </cfRule>
  </conditionalFormatting>
  <conditionalFormatting sqref="F405">
    <cfRule type="cellIs" dxfId="1168" priority="9839" operator="greaterThanOrEqual">
      <formula>0</formula>
    </cfRule>
  </conditionalFormatting>
  <conditionalFormatting sqref="F405">
    <cfRule type="cellIs" dxfId="1167" priority="9840" operator="greaterThanOrEqual">
      <formula>0</formula>
    </cfRule>
  </conditionalFormatting>
  <conditionalFormatting sqref="F405">
    <cfRule type="cellIs" dxfId="1166" priority="9841" operator="lessThan">
      <formula>-4100</formula>
    </cfRule>
  </conditionalFormatting>
  <conditionalFormatting sqref="F405">
    <cfRule type="cellIs" dxfId="1165" priority="9842" operator="greaterThanOrEqual">
      <formula>0</formula>
    </cfRule>
  </conditionalFormatting>
  <conditionalFormatting sqref="F405">
    <cfRule type="cellIs" dxfId="1164" priority="9843" operator="lessThan">
      <formula>-4100</formula>
    </cfRule>
  </conditionalFormatting>
  <conditionalFormatting sqref="F405">
    <cfRule type="cellIs" dxfId="1163" priority="9844" operator="greaterThanOrEqual">
      <formula>0</formula>
    </cfRule>
  </conditionalFormatting>
  <conditionalFormatting sqref="F405">
    <cfRule type="cellIs" dxfId="1162" priority="9845" operator="lessThan">
      <formula>-4100</formula>
    </cfRule>
  </conditionalFormatting>
  <conditionalFormatting sqref="E405">
    <cfRule type="cellIs" dxfId="1161" priority="9846" operator="greaterThan">
      <formula>0</formula>
    </cfRule>
  </conditionalFormatting>
  <conditionalFormatting sqref="F395">
    <cfRule type="cellIs" dxfId="1160" priority="9753" operator="lessThan">
      <formula>-4100</formula>
    </cfRule>
  </conditionalFormatting>
  <conditionalFormatting sqref="F395">
    <cfRule type="cellIs" dxfId="1159" priority="9754" operator="greaterThanOrEqual">
      <formula>0</formula>
    </cfRule>
  </conditionalFormatting>
  <conditionalFormatting sqref="F395">
    <cfRule type="cellIs" dxfId="1158" priority="9755" operator="greaterThanOrEqual">
      <formula>0</formula>
    </cfRule>
  </conditionalFormatting>
  <conditionalFormatting sqref="F395">
    <cfRule type="cellIs" dxfId="1157" priority="9756" operator="lessThan">
      <formula>-4100</formula>
    </cfRule>
  </conditionalFormatting>
  <conditionalFormatting sqref="F395">
    <cfRule type="cellIs" dxfId="1156" priority="9757" operator="greaterThanOrEqual">
      <formula>0</formula>
    </cfRule>
  </conditionalFormatting>
  <conditionalFormatting sqref="F395">
    <cfRule type="cellIs" dxfId="1155" priority="9758" operator="lessThan">
      <formula>-4100</formula>
    </cfRule>
  </conditionalFormatting>
  <conditionalFormatting sqref="F395">
    <cfRule type="cellIs" dxfId="1154" priority="9759" operator="greaterThanOrEqual">
      <formula>0</formula>
    </cfRule>
  </conditionalFormatting>
  <conditionalFormatting sqref="F395">
    <cfRule type="cellIs" dxfId="1153" priority="9760" operator="lessThan">
      <formula>-4100</formula>
    </cfRule>
  </conditionalFormatting>
  <conditionalFormatting sqref="E395">
    <cfRule type="cellIs" dxfId="1152" priority="9761" operator="greaterThan">
      <formula>0</formula>
    </cfRule>
  </conditionalFormatting>
  <conditionalFormatting sqref="F400">
    <cfRule type="cellIs" dxfId="1151" priority="9744" operator="lessThan">
      <formula>-4100</formula>
    </cfRule>
  </conditionalFormatting>
  <conditionalFormatting sqref="F400">
    <cfRule type="cellIs" dxfId="1150" priority="9745" operator="greaterThanOrEqual">
      <formula>0</formula>
    </cfRule>
  </conditionalFormatting>
  <conditionalFormatting sqref="F400">
    <cfRule type="cellIs" dxfId="1149" priority="9746" operator="greaterThanOrEqual">
      <formula>0</formula>
    </cfRule>
  </conditionalFormatting>
  <conditionalFormatting sqref="F400">
    <cfRule type="cellIs" dxfId="1148" priority="9747" operator="lessThan">
      <formula>-4100</formula>
    </cfRule>
  </conditionalFormatting>
  <conditionalFormatting sqref="F400">
    <cfRule type="cellIs" dxfId="1147" priority="9748" operator="greaterThanOrEqual">
      <formula>0</formula>
    </cfRule>
  </conditionalFormatting>
  <conditionalFormatting sqref="F400">
    <cfRule type="cellIs" dxfId="1146" priority="9749" operator="lessThan">
      <formula>-4100</formula>
    </cfRule>
  </conditionalFormatting>
  <conditionalFormatting sqref="F400">
    <cfRule type="cellIs" dxfId="1145" priority="9750" operator="greaterThanOrEqual">
      <formula>0</formula>
    </cfRule>
  </conditionalFormatting>
  <conditionalFormatting sqref="F400">
    <cfRule type="cellIs" dxfId="1144" priority="9751" operator="lessThan">
      <formula>-4100</formula>
    </cfRule>
  </conditionalFormatting>
  <conditionalFormatting sqref="E400">
    <cfRule type="cellIs" dxfId="1143" priority="9752" operator="greaterThan">
      <formula>0</formula>
    </cfRule>
  </conditionalFormatting>
  <conditionalFormatting sqref="F390">
    <cfRule type="cellIs" dxfId="1142" priority="9684" operator="lessThan">
      <formula>-4100</formula>
    </cfRule>
  </conditionalFormatting>
  <conditionalFormatting sqref="F390">
    <cfRule type="cellIs" dxfId="1141" priority="9685" operator="greaterThanOrEqual">
      <formula>0</formula>
    </cfRule>
  </conditionalFormatting>
  <conditionalFormatting sqref="F390">
    <cfRule type="cellIs" dxfId="1140" priority="9686" operator="greaterThanOrEqual">
      <formula>0</formula>
    </cfRule>
  </conditionalFormatting>
  <conditionalFormatting sqref="F390">
    <cfRule type="cellIs" dxfId="1139" priority="9687" operator="lessThan">
      <formula>-4100</formula>
    </cfRule>
  </conditionalFormatting>
  <conditionalFormatting sqref="F390">
    <cfRule type="cellIs" dxfId="1138" priority="9688" operator="greaterThanOrEqual">
      <formula>0</formula>
    </cfRule>
  </conditionalFormatting>
  <conditionalFormatting sqref="F390">
    <cfRule type="cellIs" dxfId="1137" priority="9689" operator="lessThan">
      <formula>-4100</formula>
    </cfRule>
  </conditionalFormatting>
  <conditionalFormatting sqref="F390">
    <cfRule type="cellIs" dxfId="1136" priority="9690" operator="greaterThanOrEqual">
      <formula>0</formula>
    </cfRule>
  </conditionalFormatting>
  <conditionalFormatting sqref="F390">
    <cfRule type="cellIs" dxfId="1135" priority="9691" operator="lessThan">
      <formula>-4100</formula>
    </cfRule>
  </conditionalFormatting>
  <conditionalFormatting sqref="E390">
    <cfRule type="cellIs" dxfId="1134" priority="9692" operator="greaterThan">
      <formula>0</formula>
    </cfRule>
  </conditionalFormatting>
  <conditionalFormatting sqref="F260">
    <cfRule type="cellIs" dxfId="1133" priority="9667" operator="lessThan">
      <formula>-4100</formula>
    </cfRule>
  </conditionalFormatting>
  <conditionalFormatting sqref="F260">
    <cfRule type="cellIs" dxfId="1132" priority="9668" operator="greaterThanOrEqual">
      <formula>0</formula>
    </cfRule>
  </conditionalFormatting>
  <conditionalFormatting sqref="F260">
    <cfRule type="cellIs" dxfId="1131" priority="9669" operator="greaterThanOrEqual">
      <formula>0</formula>
    </cfRule>
  </conditionalFormatting>
  <conditionalFormatting sqref="F260">
    <cfRule type="cellIs" dxfId="1130" priority="9670" operator="lessThan">
      <formula>-4100</formula>
    </cfRule>
  </conditionalFormatting>
  <conditionalFormatting sqref="F260">
    <cfRule type="cellIs" dxfId="1129" priority="9671" operator="greaterThanOrEqual">
      <formula>0</formula>
    </cfRule>
  </conditionalFormatting>
  <conditionalFormatting sqref="F260">
    <cfRule type="cellIs" dxfId="1128" priority="9672" operator="lessThan">
      <formula>-4100</formula>
    </cfRule>
  </conditionalFormatting>
  <conditionalFormatting sqref="F260">
    <cfRule type="cellIs" dxfId="1127" priority="9673" operator="greaterThanOrEqual">
      <formula>0</formula>
    </cfRule>
  </conditionalFormatting>
  <conditionalFormatting sqref="F260">
    <cfRule type="cellIs" dxfId="1126" priority="9674" operator="lessThan">
      <formula>-4100</formula>
    </cfRule>
  </conditionalFormatting>
  <conditionalFormatting sqref="F260">
    <cfRule type="cellIs" dxfId="1125" priority="9675" operator="greaterThanOrEqual">
      <formula>0</formula>
    </cfRule>
  </conditionalFormatting>
  <conditionalFormatting sqref="F260">
    <cfRule type="cellIs" dxfId="1124" priority="9676" operator="lessThan">
      <formula>-4100</formula>
    </cfRule>
  </conditionalFormatting>
  <conditionalFormatting sqref="F260">
    <cfRule type="cellIs" dxfId="1123" priority="9677" operator="lessThan">
      <formula>-4100</formula>
    </cfRule>
  </conditionalFormatting>
  <conditionalFormatting sqref="F260">
    <cfRule type="cellIs" dxfId="1122" priority="9678" operator="greaterThanOrEqual">
      <formula>0</formula>
    </cfRule>
  </conditionalFormatting>
  <conditionalFormatting sqref="F260">
    <cfRule type="cellIs" dxfId="1121" priority="9679" operator="greaterThanOrEqual">
      <formula>0</formula>
    </cfRule>
  </conditionalFormatting>
  <conditionalFormatting sqref="F260">
    <cfRule type="cellIs" dxfId="1120" priority="9680" operator="lessThan">
      <formula>-4100</formula>
    </cfRule>
  </conditionalFormatting>
  <conditionalFormatting sqref="F260">
    <cfRule type="cellIs" dxfId="1119" priority="9681" operator="greaterThanOrEqual">
      <formula>0</formula>
    </cfRule>
  </conditionalFormatting>
  <conditionalFormatting sqref="F260">
    <cfRule type="cellIs" dxfId="1118" priority="9682" operator="lessThan">
      <formula>-4100</formula>
    </cfRule>
  </conditionalFormatting>
  <conditionalFormatting sqref="E260">
    <cfRule type="cellIs" dxfId="1117" priority="9683" operator="greaterThan">
      <formula>0</formula>
    </cfRule>
  </conditionalFormatting>
  <conditionalFormatting sqref="H45">
    <cfRule type="expression" dxfId="1116" priority="9608">
      <formula>H45&lt;($D$3-6%)</formula>
    </cfRule>
  </conditionalFormatting>
  <conditionalFormatting sqref="H45">
    <cfRule type="expression" dxfId="1115" priority="9609">
      <formula>H45&gt;($D$3+6%)</formula>
    </cfRule>
  </conditionalFormatting>
  <conditionalFormatting sqref="H45">
    <cfRule type="expression" dxfId="1114" priority="9610">
      <formula>H45&lt;($D$3-3%)</formula>
    </cfRule>
  </conditionalFormatting>
  <conditionalFormatting sqref="H45">
    <cfRule type="expression" dxfId="1113" priority="9611">
      <formula>H45&gt;($D$3+3%)</formula>
    </cfRule>
  </conditionalFormatting>
  <conditionalFormatting sqref="H46">
    <cfRule type="expression" dxfId="1112" priority="9612">
      <formula>H46&lt;($D$3-6%)</formula>
    </cfRule>
  </conditionalFormatting>
  <conditionalFormatting sqref="H46">
    <cfRule type="expression" dxfId="1111" priority="9613">
      <formula>H46&gt;($D$3+6%)</formula>
    </cfRule>
  </conditionalFormatting>
  <conditionalFormatting sqref="H46">
    <cfRule type="expression" dxfId="1110" priority="9614">
      <formula>H46&lt;($D$3-3%)</formula>
    </cfRule>
  </conditionalFormatting>
  <conditionalFormatting sqref="H46">
    <cfRule type="expression" dxfId="1109" priority="9615">
      <formula>H46&gt;($D$3+3%)</formula>
    </cfRule>
  </conditionalFormatting>
  <conditionalFormatting sqref="F49">
    <cfRule type="cellIs" dxfId="1108" priority="9183" operator="lessThan">
      <formula>-4100</formula>
    </cfRule>
  </conditionalFormatting>
  <conditionalFormatting sqref="F49">
    <cfRule type="cellIs" dxfId="1107" priority="9184" operator="greaterThanOrEqual">
      <formula>0</formula>
    </cfRule>
  </conditionalFormatting>
  <conditionalFormatting sqref="F49">
    <cfRule type="cellIs" dxfId="1106" priority="9185" operator="greaterThanOrEqual">
      <formula>0</formula>
    </cfRule>
  </conditionalFormatting>
  <conditionalFormatting sqref="F49">
    <cfRule type="cellIs" dxfId="1105" priority="9186" operator="lessThan">
      <formula>-4100</formula>
    </cfRule>
  </conditionalFormatting>
  <conditionalFormatting sqref="F49">
    <cfRule type="cellIs" dxfId="1104" priority="9187" operator="greaterThanOrEqual">
      <formula>0</formula>
    </cfRule>
  </conditionalFormatting>
  <conditionalFormatting sqref="F49">
    <cfRule type="cellIs" dxfId="1103" priority="9188" operator="lessThan">
      <formula>-4100</formula>
    </cfRule>
  </conditionalFormatting>
  <conditionalFormatting sqref="F49">
    <cfRule type="cellIs" dxfId="1102" priority="9189" operator="greaterThanOrEqual">
      <formula>0</formula>
    </cfRule>
  </conditionalFormatting>
  <conditionalFormatting sqref="F49">
    <cfRule type="cellIs" dxfId="1101" priority="9190" operator="lessThan">
      <formula>-4100</formula>
    </cfRule>
  </conditionalFormatting>
  <conditionalFormatting sqref="F49">
    <cfRule type="cellIs" dxfId="1100" priority="9191" operator="greaterThanOrEqual">
      <formula>0</formula>
    </cfRule>
  </conditionalFormatting>
  <conditionalFormatting sqref="F49">
    <cfRule type="cellIs" dxfId="1099" priority="9192" operator="lessThan">
      <formula>-4100</formula>
    </cfRule>
  </conditionalFormatting>
  <conditionalFormatting sqref="F49">
    <cfRule type="cellIs" dxfId="1098" priority="9193" operator="lessThan">
      <formula>-4100</formula>
    </cfRule>
  </conditionalFormatting>
  <conditionalFormatting sqref="F49">
    <cfRule type="cellIs" dxfId="1097" priority="9194" operator="greaterThanOrEqual">
      <formula>0</formula>
    </cfRule>
  </conditionalFormatting>
  <conditionalFormatting sqref="F49">
    <cfRule type="cellIs" dxfId="1096" priority="9195" operator="greaterThanOrEqual">
      <formula>0</formula>
    </cfRule>
  </conditionalFormatting>
  <conditionalFormatting sqref="F49">
    <cfRule type="cellIs" dxfId="1095" priority="9196" operator="lessThan">
      <formula>-4100</formula>
    </cfRule>
  </conditionalFormatting>
  <conditionalFormatting sqref="F49">
    <cfRule type="cellIs" dxfId="1094" priority="9197" operator="greaterThanOrEqual">
      <formula>0</formula>
    </cfRule>
  </conditionalFormatting>
  <conditionalFormatting sqref="F49">
    <cfRule type="cellIs" dxfId="1093" priority="9198" operator="lessThan">
      <formula>-4100</formula>
    </cfRule>
  </conditionalFormatting>
  <conditionalFormatting sqref="E49">
    <cfRule type="cellIs" dxfId="1092" priority="9199" operator="greaterThan">
      <formula>0</formula>
    </cfRule>
  </conditionalFormatting>
  <conditionalFormatting sqref="F460">
    <cfRule type="cellIs" dxfId="1091" priority="8465" operator="greaterThanOrEqual">
      <formula>0</formula>
    </cfRule>
  </conditionalFormatting>
  <conditionalFormatting sqref="F460">
    <cfRule type="cellIs" dxfId="1090" priority="8466" operator="lessThan">
      <formula>-4100</formula>
    </cfRule>
  </conditionalFormatting>
  <conditionalFormatting sqref="F460">
    <cfRule type="cellIs" dxfId="1089" priority="8467" operator="greaterThanOrEqual">
      <formula>0</formula>
    </cfRule>
  </conditionalFormatting>
  <conditionalFormatting sqref="F460">
    <cfRule type="cellIs" dxfId="1088" priority="8468" operator="lessThan">
      <formula>-4100</formula>
    </cfRule>
  </conditionalFormatting>
  <conditionalFormatting sqref="F460">
    <cfRule type="cellIs" dxfId="1087" priority="8469" operator="greaterThanOrEqual">
      <formula>0</formula>
    </cfRule>
  </conditionalFormatting>
  <conditionalFormatting sqref="F460">
    <cfRule type="cellIs" dxfId="1086" priority="8470" operator="lessThan">
      <formula>-4100</formula>
    </cfRule>
  </conditionalFormatting>
  <conditionalFormatting sqref="F460">
    <cfRule type="cellIs" dxfId="1085" priority="8471" operator="greaterThanOrEqual">
      <formula>0</formula>
    </cfRule>
  </conditionalFormatting>
  <conditionalFormatting sqref="F460">
    <cfRule type="cellIs" dxfId="1084" priority="8472" operator="lessThan">
      <formula>-4100</formula>
    </cfRule>
  </conditionalFormatting>
  <conditionalFormatting sqref="F460">
    <cfRule type="cellIs" dxfId="1083" priority="8473" operator="greaterThanOrEqual">
      <formula>0</formula>
    </cfRule>
  </conditionalFormatting>
  <conditionalFormatting sqref="F460">
    <cfRule type="cellIs" dxfId="1082" priority="8474" operator="lessThan">
      <formula>-4100</formula>
    </cfRule>
  </conditionalFormatting>
  <conditionalFormatting sqref="F460">
    <cfRule type="cellIs" dxfId="1081" priority="8475" operator="greaterThanOrEqual">
      <formula>0</formula>
    </cfRule>
  </conditionalFormatting>
  <conditionalFormatting sqref="F460">
    <cfRule type="cellIs" dxfId="1080" priority="8476" operator="lessThan">
      <formula>-4100</formula>
    </cfRule>
  </conditionalFormatting>
  <conditionalFormatting sqref="F460">
    <cfRule type="cellIs" dxfId="1079" priority="8477" operator="greaterThanOrEqual">
      <formula>0</formula>
    </cfRule>
  </conditionalFormatting>
  <conditionalFormatting sqref="F460">
    <cfRule type="cellIs" dxfId="1078" priority="8478" operator="lessThan">
      <formula>-4100</formula>
    </cfRule>
  </conditionalFormatting>
  <conditionalFormatting sqref="F460">
    <cfRule type="cellIs" dxfId="1077" priority="8479" operator="greaterThanOrEqual">
      <formula>0</formula>
    </cfRule>
  </conditionalFormatting>
  <conditionalFormatting sqref="F460">
    <cfRule type="cellIs" dxfId="1076" priority="8480" operator="lessThan">
      <formula>-4100</formula>
    </cfRule>
  </conditionalFormatting>
  <conditionalFormatting sqref="E460">
    <cfRule type="cellIs" dxfId="1075" priority="8481" operator="greaterThan">
      <formula>0</formula>
    </cfRule>
  </conditionalFormatting>
  <conditionalFormatting sqref="F455">
    <cfRule type="cellIs" dxfId="1074" priority="7965" operator="greaterThanOrEqual">
      <formula>0</formula>
    </cfRule>
  </conditionalFormatting>
  <conditionalFormatting sqref="F455">
    <cfRule type="cellIs" dxfId="1073" priority="7966" operator="lessThan">
      <formula>-4100</formula>
    </cfRule>
  </conditionalFormatting>
  <conditionalFormatting sqref="F455">
    <cfRule type="cellIs" dxfId="1072" priority="7967" operator="greaterThanOrEqual">
      <formula>0</formula>
    </cfRule>
  </conditionalFormatting>
  <conditionalFormatting sqref="F455">
    <cfRule type="cellIs" dxfId="1071" priority="7968" operator="lessThan">
      <formula>-4100</formula>
    </cfRule>
  </conditionalFormatting>
  <conditionalFormatting sqref="F455">
    <cfRule type="cellIs" dxfId="1070" priority="7969" operator="greaterThanOrEqual">
      <formula>0</formula>
    </cfRule>
  </conditionalFormatting>
  <conditionalFormatting sqref="F455">
    <cfRule type="cellIs" dxfId="1069" priority="7970" operator="lessThan">
      <formula>-4100</formula>
    </cfRule>
  </conditionalFormatting>
  <conditionalFormatting sqref="F455">
    <cfRule type="cellIs" dxfId="1068" priority="7971" operator="greaterThanOrEqual">
      <formula>0</formula>
    </cfRule>
  </conditionalFormatting>
  <conditionalFormatting sqref="F455">
    <cfRule type="cellIs" dxfId="1067" priority="7972" operator="lessThan">
      <formula>-4100</formula>
    </cfRule>
  </conditionalFormatting>
  <conditionalFormatting sqref="F455">
    <cfRule type="cellIs" dxfId="1066" priority="7973" operator="greaterThanOrEqual">
      <formula>0</formula>
    </cfRule>
  </conditionalFormatting>
  <conditionalFormatting sqref="F455">
    <cfRule type="cellIs" dxfId="1065" priority="7974" operator="lessThan">
      <formula>-4100</formula>
    </cfRule>
  </conditionalFormatting>
  <conditionalFormatting sqref="F455">
    <cfRule type="cellIs" dxfId="1064" priority="7975" operator="greaterThanOrEqual">
      <formula>0</formula>
    </cfRule>
  </conditionalFormatting>
  <conditionalFormatting sqref="F455">
    <cfRule type="cellIs" dxfId="1063" priority="7976" operator="lessThan">
      <formula>-4100</formula>
    </cfRule>
  </conditionalFormatting>
  <conditionalFormatting sqref="F455">
    <cfRule type="cellIs" dxfId="1062" priority="7977" operator="greaterThanOrEqual">
      <formula>0</formula>
    </cfRule>
  </conditionalFormatting>
  <conditionalFormatting sqref="F455">
    <cfRule type="cellIs" dxfId="1061" priority="7978" operator="lessThan">
      <formula>-4100</formula>
    </cfRule>
  </conditionalFormatting>
  <conditionalFormatting sqref="F455">
    <cfRule type="cellIs" dxfId="1060" priority="7979" operator="greaterThanOrEqual">
      <formula>0</formula>
    </cfRule>
  </conditionalFormatting>
  <conditionalFormatting sqref="F455">
    <cfRule type="cellIs" dxfId="1059" priority="7980" operator="lessThan">
      <formula>-4100</formula>
    </cfRule>
  </conditionalFormatting>
  <conditionalFormatting sqref="E455">
    <cfRule type="cellIs" dxfId="1058" priority="7981" operator="greaterThan">
      <formula>0</formula>
    </cfRule>
  </conditionalFormatting>
  <conditionalFormatting sqref="F169">
    <cfRule type="cellIs" dxfId="1057" priority="7290" operator="greaterThanOrEqual">
      <formula>0</formula>
    </cfRule>
  </conditionalFormatting>
  <conditionalFormatting sqref="F169">
    <cfRule type="cellIs" dxfId="1056" priority="7291" operator="lessThan">
      <formula>-4100</formula>
    </cfRule>
  </conditionalFormatting>
  <conditionalFormatting sqref="F169">
    <cfRule type="cellIs" dxfId="1055" priority="7298" operator="lessThan">
      <formula>-4100</formula>
    </cfRule>
  </conditionalFormatting>
  <conditionalFormatting sqref="F169">
    <cfRule type="cellIs" dxfId="1054" priority="7299" operator="greaterThanOrEqual">
      <formula>0</formula>
    </cfRule>
  </conditionalFormatting>
  <conditionalFormatting sqref="F169">
    <cfRule type="cellIs" dxfId="1053" priority="7288" operator="greaterThanOrEqual">
      <formula>0</formula>
    </cfRule>
  </conditionalFormatting>
  <conditionalFormatting sqref="F169">
    <cfRule type="cellIs" dxfId="1052" priority="7289" operator="lessThan">
      <formula>-4100</formula>
    </cfRule>
  </conditionalFormatting>
  <conditionalFormatting sqref="E169">
    <cfRule type="cellIs" dxfId="1051" priority="7292" operator="greaterThan">
      <formula>0</formula>
    </cfRule>
  </conditionalFormatting>
  <conditionalFormatting sqref="F169">
    <cfRule type="cellIs" dxfId="1050" priority="7293" operator="greaterThanOrEqual">
      <formula>0</formula>
    </cfRule>
  </conditionalFormatting>
  <conditionalFormatting sqref="F169">
    <cfRule type="cellIs" dxfId="1049" priority="7294" operator="lessThan">
      <formula>-4100</formula>
    </cfRule>
  </conditionalFormatting>
  <conditionalFormatting sqref="F169">
    <cfRule type="cellIs" dxfId="1048" priority="7295" operator="greaterThanOrEqual">
      <formula>0</formula>
    </cfRule>
  </conditionalFormatting>
  <conditionalFormatting sqref="F169">
    <cfRule type="cellIs" dxfId="1047" priority="7296" operator="lessThan">
      <formula>-4100</formula>
    </cfRule>
  </conditionalFormatting>
  <conditionalFormatting sqref="F169">
    <cfRule type="cellIs" dxfId="1046" priority="7297" operator="greaterThanOrEqual">
      <formula>0</formula>
    </cfRule>
  </conditionalFormatting>
  <conditionalFormatting sqref="F169">
    <cfRule type="cellIs" dxfId="1045" priority="7300" operator="lessThan">
      <formula>-4100</formula>
    </cfRule>
  </conditionalFormatting>
  <conditionalFormatting sqref="F169">
    <cfRule type="cellIs" dxfId="1044" priority="7301" operator="greaterThanOrEqual">
      <formula>0</formula>
    </cfRule>
  </conditionalFormatting>
  <conditionalFormatting sqref="F169">
    <cfRule type="cellIs" dxfId="1043" priority="7302" operator="lessThan">
      <formula>-4100</formula>
    </cfRule>
  </conditionalFormatting>
  <conditionalFormatting sqref="F169">
    <cfRule type="cellIs" dxfId="1042" priority="7303" operator="greaterThanOrEqual">
      <formula>0</formula>
    </cfRule>
  </conditionalFormatting>
  <conditionalFormatting sqref="F169">
    <cfRule type="cellIs" dxfId="1041" priority="7304" operator="lessThan">
      <formula>-4100</formula>
    </cfRule>
  </conditionalFormatting>
  <conditionalFormatting sqref="H65">
    <cfRule type="expression" dxfId="1040" priority="7041">
      <formula>H65&lt;($D$3-6%)</formula>
    </cfRule>
  </conditionalFormatting>
  <conditionalFormatting sqref="H65">
    <cfRule type="expression" dxfId="1039" priority="7042">
      <formula>H65&gt;($D$3+6%)</formula>
    </cfRule>
  </conditionalFormatting>
  <conditionalFormatting sqref="H65">
    <cfRule type="expression" dxfId="1038" priority="7043">
      <formula>H65&lt;($D$3-3%)</formula>
    </cfRule>
  </conditionalFormatting>
  <conditionalFormatting sqref="H65">
    <cfRule type="expression" dxfId="1037" priority="7044">
      <formula>H65&gt;($D$3+3%)</formula>
    </cfRule>
  </conditionalFormatting>
  <conditionalFormatting sqref="H66">
    <cfRule type="expression" dxfId="1036" priority="7045">
      <formula>H66&lt;($D$3-6%)</formula>
    </cfRule>
  </conditionalFormatting>
  <conditionalFormatting sqref="H66">
    <cfRule type="expression" dxfId="1035" priority="7046">
      <formula>H66&gt;($D$3+6%)</formula>
    </cfRule>
  </conditionalFormatting>
  <conditionalFormatting sqref="H66">
    <cfRule type="expression" dxfId="1034" priority="7047">
      <formula>H66&lt;($D$3-3%)</formula>
    </cfRule>
  </conditionalFormatting>
  <conditionalFormatting sqref="H66">
    <cfRule type="expression" dxfId="1033" priority="7048">
      <formula>H66&gt;($D$3+3%)</formula>
    </cfRule>
  </conditionalFormatting>
  <conditionalFormatting sqref="F69">
    <cfRule type="cellIs" dxfId="1032" priority="7024" operator="lessThan">
      <formula>-4100</formula>
    </cfRule>
  </conditionalFormatting>
  <conditionalFormatting sqref="F69">
    <cfRule type="cellIs" dxfId="1031" priority="7025" operator="greaterThanOrEqual">
      <formula>0</formula>
    </cfRule>
  </conditionalFormatting>
  <conditionalFormatting sqref="F69">
    <cfRule type="cellIs" dxfId="1030" priority="7026" operator="greaterThanOrEqual">
      <formula>0</formula>
    </cfRule>
  </conditionalFormatting>
  <conditionalFormatting sqref="F69">
    <cfRule type="cellIs" dxfId="1029" priority="7027" operator="lessThan">
      <formula>-4100</formula>
    </cfRule>
  </conditionalFormatting>
  <conditionalFormatting sqref="F69">
    <cfRule type="cellIs" dxfId="1028" priority="7028" operator="greaterThanOrEqual">
      <formula>0</formula>
    </cfRule>
  </conditionalFormatting>
  <conditionalFormatting sqref="F69">
    <cfRule type="cellIs" dxfId="1027" priority="7029" operator="lessThan">
      <formula>-4100</formula>
    </cfRule>
  </conditionalFormatting>
  <conditionalFormatting sqref="F69">
    <cfRule type="cellIs" dxfId="1026" priority="7030" operator="greaterThanOrEqual">
      <formula>0</formula>
    </cfRule>
  </conditionalFormatting>
  <conditionalFormatting sqref="F69">
    <cfRule type="cellIs" dxfId="1025" priority="7031" operator="lessThan">
      <formula>-4100</formula>
    </cfRule>
  </conditionalFormatting>
  <conditionalFormatting sqref="F69">
    <cfRule type="cellIs" dxfId="1024" priority="7032" operator="greaterThanOrEqual">
      <formula>0</formula>
    </cfRule>
  </conditionalFormatting>
  <conditionalFormatting sqref="F69">
    <cfRule type="cellIs" dxfId="1023" priority="7033" operator="lessThan">
      <formula>-4100</formula>
    </cfRule>
  </conditionalFormatting>
  <conditionalFormatting sqref="F69">
    <cfRule type="cellIs" dxfId="1022" priority="7034" operator="lessThan">
      <formula>-4100</formula>
    </cfRule>
  </conditionalFormatting>
  <conditionalFormatting sqref="F69">
    <cfRule type="cellIs" dxfId="1021" priority="7035" operator="greaterThanOrEqual">
      <formula>0</formula>
    </cfRule>
  </conditionalFormatting>
  <conditionalFormatting sqref="F69">
    <cfRule type="cellIs" dxfId="1020" priority="7036" operator="greaterThanOrEqual">
      <formula>0</formula>
    </cfRule>
  </conditionalFormatting>
  <conditionalFormatting sqref="F69">
    <cfRule type="cellIs" dxfId="1019" priority="7037" operator="lessThan">
      <formula>-4100</formula>
    </cfRule>
  </conditionalFormatting>
  <conditionalFormatting sqref="F69">
    <cfRule type="cellIs" dxfId="1018" priority="7038" operator="greaterThanOrEqual">
      <formula>0</formula>
    </cfRule>
  </conditionalFormatting>
  <conditionalFormatting sqref="F69">
    <cfRule type="cellIs" dxfId="1017" priority="7039" operator="lessThan">
      <formula>-4100</formula>
    </cfRule>
  </conditionalFormatting>
  <conditionalFormatting sqref="E69">
    <cfRule type="cellIs" dxfId="1016" priority="7040" operator="greaterThan">
      <formula>0</formula>
    </cfRule>
  </conditionalFormatting>
  <conditionalFormatting sqref="H30">
    <cfRule type="expression" dxfId="1015" priority="6931">
      <formula>H30&lt;($D$3-6%)</formula>
    </cfRule>
  </conditionalFormatting>
  <conditionalFormatting sqref="H30">
    <cfRule type="expression" dxfId="1014" priority="6932">
      <formula>H30&gt;($D$3+6%)</formula>
    </cfRule>
  </conditionalFormatting>
  <conditionalFormatting sqref="H30">
    <cfRule type="expression" dxfId="1013" priority="6933">
      <formula>H30&lt;($D$3-3%)</formula>
    </cfRule>
  </conditionalFormatting>
  <conditionalFormatting sqref="H30">
    <cfRule type="expression" dxfId="1012" priority="6934">
      <formula>H30&gt;($D$3+3%)</formula>
    </cfRule>
  </conditionalFormatting>
  <conditionalFormatting sqref="H31">
    <cfRule type="expression" dxfId="1011" priority="6935">
      <formula>H31&lt;($D$3-6%)</formula>
    </cfRule>
  </conditionalFormatting>
  <conditionalFormatting sqref="H31">
    <cfRule type="expression" dxfId="1010" priority="6936">
      <formula>H31&gt;($D$3+6%)</formula>
    </cfRule>
  </conditionalFormatting>
  <conditionalFormatting sqref="H31">
    <cfRule type="expression" dxfId="1009" priority="6937">
      <formula>H31&lt;($D$3-3%)</formula>
    </cfRule>
  </conditionalFormatting>
  <conditionalFormatting sqref="H31">
    <cfRule type="expression" dxfId="1008" priority="6938">
      <formula>H31&gt;($D$3+3%)</formula>
    </cfRule>
  </conditionalFormatting>
  <conditionalFormatting sqref="F265">
    <cfRule type="cellIs" dxfId="1007" priority="6160" operator="lessThan">
      <formula>-4100</formula>
    </cfRule>
  </conditionalFormatting>
  <conditionalFormatting sqref="F265">
    <cfRule type="cellIs" dxfId="1006" priority="6161" operator="greaterThanOrEqual">
      <formula>0</formula>
    </cfRule>
  </conditionalFormatting>
  <conditionalFormatting sqref="F265">
    <cfRule type="cellIs" dxfId="1005" priority="6162" operator="greaterThanOrEqual">
      <formula>0</formula>
    </cfRule>
  </conditionalFormatting>
  <conditionalFormatting sqref="F265">
    <cfRule type="cellIs" dxfId="1004" priority="6163" operator="lessThan">
      <formula>-4100</formula>
    </cfRule>
  </conditionalFormatting>
  <conditionalFormatting sqref="F265">
    <cfRule type="cellIs" dxfId="1003" priority="6164" operator="greaterThanOrEqual">
      <formula>0</formula>
    </cfRule>
  </conditionalFormatting>
  <conditionalFormatting sqref="F265">
    <cfRule type="cellIs" dxfId="1002" priority="6165" operator="lessThan">
      <formula>-4100</formula>
    </cfRule>
  </conditionalFormatting>
  <conditionalFormatting sqref="F265">
    <cfRule type="cellIs" dxfId="1001" priority="6166" operator="greaterThanOrEqual">
      <formula>0</formula>
    </cfRule>
  </conditionalFormatting>
  <conditionalFormatting sqref="F265">
    <cfRule type="cellIs" dxfId="1000" priority="6167" operator="lessThan">
      <formula>-4100</formula>
    </cfRule>
  </conditionalFormatting>
  <conditionalFormatting sqref="F265">
    <cfRule type="cellIs" dxfId="999" priority="6168" operator="greaterThanOrEqual">
      <formula>0</formula>
    </cfRule>
  </conditionalFormatting>
  <conditionalFormatting sqref="F265">
    <cfRule type="cellIs" dxfId="998" priority="6169" operator="lessThan">
      <formula>-4100</formula>
    </cfRule>
  </conditionalFormatting>
  <conditionalFormatting sqref="F265">
    <cfRule type="cellIs" dxfId="997" priority="6170" operator="lessThan">
      <formula>-4100</formula>
    </cfRule>
  </conditionalFormatting>
  <conditionalFormatting sqref="F265">
    <cfRule type="cellIs" dxfId="996" priority="6171" operator="greaterThanOrEqual">
      <formula>0</formula>
    </cfRule>
  </conditionalFormatting>
  <conditionalFormatting sqref="F265">
    <cfRule type="cellIs" dxfId="995" priority="6172" operator="greaterThanOrEqual">
      <formula>0</formula>
    </cfRule>
  </conditionalFormatting>
  <conditionalFormatting sqref="F265">
    <cfRule type="cellIs" dxfId="994" priority="6173" operator="lessThan">
      <formula>-4100</formula>
    </cfRule>
  </conditionalFormatting>
  <conditionalFormatting sqref="F265">
    <cfRule type="cellIs" dxfId="993" priority="6174" operator="greaterThanOrEqual">
      <formula>0</formula>
    </cfRule>
  </conditionalFormatting>
  <conditionalFormatting sqref="F265">
    <cfRule type="cellIs" dxfId="992" priority="6175" operator="lessThan">
      <formula>-4100</formula>
    </cfRule>
  </conditionalFormatting>
  <conditionalFormatting sqref="E265">
    <cfRule type="cellIs" dxfId="991" priority="6176" operator="greaterThan">
      <formula>0</formula>
    </cfRule>
  </conditionalFormatting>
  <conditionalFormatting sqref="F154">
    <cfRule type="cellIs" dxfId="990" priority="5088" operator="lessThan">
      <formula>-4100</formula>
    </cfRule>
  </conditionalFormatting>
  <conditionalFormatting sqref="F154">
    <cfRule type="cellIs" dxfId="989" priority="5089" operator="greaterThanOrEqual">
      <formula>0</formula>
    </cfRule>
  </conditionalFormatting>
  <conditionalFormatting sqref="F154">
    <cfRule type="cellIs" dxfId="988" priority="5090" operator="greaterThanOrEqual">
      <formula>0</formula>
    </cfRule>
  </conditionalFormatting>
  <conditionalFormatting sqref="F154">
    <cfRule type="cellIs" dxfId="987" priority="5091" operator="lessThan">
      <formula>-4100</formula>
    </cfRule>
  </conditionalFormatting>
  <conditionalFormatting sqref="F154">
    <cfRule type="cellIs" dxfId="986" priority="5092" operator="greaterThanOrEqual">
      <formula>0</formula>
    </cfRule>
  </conditionalFormatting>
  <conditionalFormatting sqref="F154">
    <cfRule type="cellIs" dxfId="985" priority="5093" operator="lessThan">
      <formula>-4100</formula>
    </cfRule>
  </conditionalFormatting>
  <conditionalFormatting sqref="F154">
    <cfRule type="cellIs" dxfId="984" priority="5094" operator="lessThan">
      <formula>-4100</formula>
    </cfRule>
  </conditionalFormatting>
  <conditionalFormatting sqref="F154">
    <cfRule type="cellIs" dxfId="983" priority="5095" operator="greaterThanOrEqual">
      <formula>0</formula>
    </cfRule>
  </conditionalFormatting>
  <conditionalFormatting sqref="F154">
    <cfRule type="cellIs" dxfId="982" priority="5096" operator="greaterThanOrEqual">
      <formula>0</formula>
    </cfRule>
  </conditionalFormatting>
  <conditionalFormatting sqref="F154">
    <cfRule type="cellIs" dxfId="981" priority="5097" operator="lessThan">
      <formula>-4100</formula>
    </cfRule>
  </conditionalFormatting>
  <conditionalFormatting sqref="F154">
    <cfRule type="cellIs" dxfId="980" priority="5098" operator="greaterThanOrEqual">
      <formula>0</formula>
    </cfRule>
  </conditionalFormatting>
  <conditionalFormatting sqref="F154">
    <cfRule type="cellIs" dxfId="979" priority="5099" operator="lessThan">
      <formula>-4100</formula>
    </cfRule>
  </conditionalFormatting>
  <conditionalFormatting sqref="E150:E154">
    <cfRule type="cellIs" dxfId="978" priority="5100" operator="greaterThan">
      <formula>0</formula>
    </cfRule>
  </conditionalFormatting>
  <conditionalFormatting sqref="F154">
    <cfRule type="cellIs" dxfId="977" priority="5101" operator="greaterThanOrEqual">
      <formula>0</formula>
    </cfRule>
  </conditionalFormatting>
  <conditionalFormatting sqref="F154">
    <cfRule type="cellIs" dxfId="976" priority="5102" operator="lessThan">
      <formula>-4100</formula>
    </cfRule>
  </conditionalFormatting>
  <conditionalFormatting sqref="F154">
    <cfRule type="cellIs" dxfId="975" priority="5103" operator="greaterThanOrEqual">
      <formula>0</formula>
    </cfRule>
  </conditionalFormatting>
  <conditionalFormatting sqref="F154">
    <cfRule type="cellIs" dxfId="974" priority="5104" operator="lessThan">
      <formula>-4100</formula>
    </cfRule>
  </conditionalFormatting>
  <conditionalFormatting sqref="F84">
    <cfRule type="cellIs" dxfId="973" priority="4293" operator="lessThan">
      <formula>-4100</formula>
    </cfRule>
  </conditionalFormatting>
  <conditionalFormatting sqref="F84">
    <cfRule type="cellIs" dxfId="972" priority="4294" operator="greaterThanOrEqual">
      <formula>0</formula>
    </cfRule>
  </conditionalFormatting>
  <conditionalFormatting sqref="F84">
    <cfRule type="cellIs" dxfId="971" priority="4295" operator="greaterThanOrEqual">
      <formula>0</formula>
    </cfRule>
  </conditionalFormatting>
  <conditionalFormatting sqref="F84">
    <cfRule type="cellIs" dxfId="970" priority="4296" operator="lessThan">
      <formula>-4100</formula>
    </cfRule>
  </conditionalFormatting>
  <conditionalFormatting sqref="F84">
    <cfRule type="cellIs" dxfId="969" priority="4297" operator="greaterThanOrEqual">
      <formula>0</formula>
    </cfRule>
  </conditionalFormatting>
  <conditionalFormatting sqref="F84">
    <cfRule type="cellIs" dxfId="968" priority="4298" operator="lessThan">
      <formula>-4100</formula>
    </cfRule>
  </conditionalFormatting>
  <conditionalFormatting sqref="F84">
    <cfRule type="cellIs" dxfId="967" priority="4299" operator="greaterThanOrEqual">
      <formula>0</formula>
    </cfRule>
  </conditionalFormatting>
  <conditionalFormatting sqref="F84">
    <cfRule type="cellIs" dxfId="966" priority="4300" operator="lessThan">
      <formula>-4100</formula>
    </cfRule>
  </conditionalFormatting>
  <conditionalFormatting sqref="F84">
    <cfRule type="cellIs" dxfId="965" priority="4301" operator="greaterThanOrEqual">
      <formula>0</formula>
    </cfRule>
  </conditionalFormatting>
  <conditionalFormatting sqref="F84">
    <cfRule type="cellIs" dxfId="964" priority="4302" operator="lessThan">
      <formula>-4100</formula>
    </cfRule>
  </conditionalFormatting>
  <conditionalFormatting sqref="F84">
    <cfRule type="cellIs" dxfId="963" priority="4303" operator="lessThan">
      <formula>-4100</formula>
    </cfRule>
  </conditionalFormatting>
  <conditionalFormatting sqref="F84">
    <cfRule type="cellIs" dxfId="962" priority="4304" operator="greaterThanOrEqual">
      <formula>0</formula>
    </cfRule>
  </conditionalFormatting>
  <conditionalFormatting sqref="F84">
    <cfRule type="cellIs" dxfId="961" priority="4305" operator="greaterThanOrEqual">
      <formula>0</formula>
    </cfRule>
  </conditionalFormatting>
  <conditionalFormatting sqref="F84">
    <cfRule type="cellIs" dxfId="960" priority="4306" operator="lessThan">
      <formula>-4100</formula>
    </cfRule>
  </conditionalFormatting>
  <conditionalFormatting sqref="F84">
    <cfRule type="cellIs" dxfId="959" priority="4307" operator="greaterThanOrEqual">
      <formula>0</formula>
    </cfRule>
  </conditionalFormatting>
  <conditionalFormatting sqref="F84">
    <cfRule type="cellIs" dxfId="958" priority="4308" operator="lessThan">
      <formula>-4100</formula>
    </cfRule>
  </conditionalFormatting>
  <conditionalFormatting sqref="E84">
    <cfRule type="cellIs" dxfId="957" priority="4309" operator="greaterThan">
      <formula>0</formula>
    </cfRule>
  </conditionalFormatting>
  <conditionalFormatting sqref="F209">
    <cfRule type="cellIs" dxfId="956" priority="3889" operator="lessThan">
      <formula>-4100</formula>
    </cfRule>
  </conditionalFormatting>
  <conditionalFormatting sqref="F209">
    <cfRule type="cellIs" dxfId="955" priority="3890" operator="greaterThanOrEqual">
      <formula>0</formula>
    </cfRule>
  </conditionalFormatting>
  <conditionalFormatting sqref="F209">
    <cfRule type="cellIs" dxfId="954" priority="3891" operator="greaterThanOrEqual">
      <formula>0</formula>
    </cfRule>
  </conditionalFormatting>
  <conditionalFormatting sqref="F209">
    <cfRule type="cellIs" dxfId="953" priority="3892" operator="lessThan">
      <formula>-4100</formula>
    </cfRule>
  </conditionalFormatting>
  <conditionalFormatting sqref="F209">
    <cfRule type="cellIs" dxfId="952" priority="3893" operator="greaterThanOrEqual">
      <formula>0</formula>
    </cfRule>
  </conditionalFormatting>
  <conditionalFormatting sqref="F209">
    <cfRule type="cellIs" dxfId="951" priority="3894" operator="lessThan">
      <formula>-4100</formula>
    </cfRule>
  </conditionalFormatting>
  <conditionalFormatting sqref="F209">
    <cfRule type="cellIs" dxfId="950" priority="3895" operator="greaterThanOrEqual">
      <formula>0</formula>
    </cfRule>
  </conditionalFormatting>
  <conditionalFormatting sqref="F209">
    <cfRule type="cellIs" dxfId="949" priority="3896" operator="lessThan">
      <formula>-4100</formula>
    </cfRule>
  </conditionalFormatting>
  <conditionalFormatting sqref="F209">
    <cfRule type="cellIs" dxfId="948" priority="3897" operator="greaterThanOrEqual">
      <formula>0</formula>
    </cfRule>
  </conditionalFormatting>
  <conditionalFormatting sqref="F209">
    <cfRule type="cellIs" dxfId="947" priority="3898" operator="lessThan">
      <formula>-4100</formula>
    </cfRule>
  </conditionalFormatting>
  <conditionalFormatting sqref="F209">
    <cfRule type="cellIs" dxfId="946" priority="3899" operator="lessThan">
      <formula>-4100</formula>
    </cfRule>
  </conditionalFormatting>
  <conditionalFormatting sqref="F209">
    <cfRule type="cellIs" dxfId="945" priority="3900" operator="greaterThanOrEqual">
      <formula>0</formula>
    </cfRule>
  </conditionalFormatting>
  <conditionalFormatting sqref="F209">
    <cfRule type="cellIs" dxfId="944" priority="3901" operator="greaterThanOrEqual">
      <formula>0</formula>
    </cfRule>
  </conditionalFormatting>
  <conditionalFormatting sqref="F209">
    <cfRule type="cellIs" dxfId="943" priority="3902" operator="lessThan">
      <formula>-4100</formula>
    </cfRule>
  </conditionalFormatting>
  <conditionalFormatting sqref="F209">
    <cfRule type="cellIs" dxfId="942" priority="3903" operator="greaterThanOrEqual">
      <formula>0</formula>
    </cfRule>
  </conditionalFormatting>
  <conditionalFormatting sqref="F209">
    <cfRule type="cellIs" dxfId="941" priority="3904" operator="lessThan">
      <formula>-4100</formula>
    </cfRule>
  </conditionalFormatting>
  <conditionalFormatting sqref="E209">
    <cfRule type="cellIs" dxfId="940" priority="3905" operator="greaterThan">
      <formula>0</formula>
    </cfRule>
  </conditionalFormatting>
  <conditionalFormatting sqref="F214">
    <cfRule type="cellIs" dxfId="939" priority="3698" operator="lessThan">
      <formula>-4100</formula>
    </cfRule>
  </conditionalFormatting>
  <conditionalFormatting sqref="F214">
    <cfRule type="cellIs" dxfId="938" priority="3699" operator="greaterThanOrEqual">
      <formula>0</formula>
    </cfRule>
  </conditionalFormatting>
  <conditionalFormatting sqref="F214">
    <cfRule type="cellIs" dxfId="937" priority="3700" operator="greaterThanOrEqual">
      <formula>0</formula>
    </cfRule>
  </conditionalFormatting>
  <conditionalFormatting sqref="F214">
    <cfRule type="cellIs" dxfId="936" priority="3701" operator="lessThan">
      <formula>-4100</formula>
    </cfRule>
  </conditionalFormatting>
  <conditionalFormatting sqref="F214">
    <cfRule type="cellIs" dxfId="935" priority="3702" operator="greaterThanOrEqual">
      <formula>0</formula>
    </cfRule>
  </conditionalFormatting>
  <conditionalFormatting sqref="F214">
    <cfRule type="cellIs" dxfId="934" priority="3703" operator="lessThan">
      <formula>-4100</formula>
    </cfRule>
  </conditionalFormatting>
  <conditionalFormatting sqref="F214">
    <cfRule type="cellIs" dxfId="933" priority="3704" operator="greaterThanOrEqual">
      <formula>0</formula>
    </cfRule>
  </conditionalFormatting>
  <conditionalFormatting sqref="F214">
    <cfRule type="cellIs" dxfId="932" priority="3705" operator="lessThan">
      <formula>-4100</formula>
    </cfRule>
  </conditionalFormatting>
  <conditionalFormatting sqref="F214">
    <cfRule type="cellIs" dxfId="931" priority="3706" operator="greaterThanOrEqual">
      <formula>0</formula>
    </cfRule>
  </conditionalFormatting>
  <conditionalFormatting sqref="F214">
    <cfRule type="cellIs" dxfId="930" priority="3707" operator="lessThan">
      <formula>-4100</formula>
    </cfRule>
  </conditionalFormatting>
  <conditionalFormatting sqref="F214">
    <cfRule type="cellIs" dxfId="929" priority="3708" operator="lessThan">
      <formula>-4100</formula>
    </cfRule>
  </conditionalFormatting>
  <conditionalFormatting sqref="F214">
    <cfRule type="cellIs" dxfId="928" priority="3709" operator="greaterThanOrEqual">
      <formula>0</formula>
    </cfRule>
  </conditionalFormatting>
  <conditionalFormatting sqref="F214">
    <cfRule type="cellIs" dxfId="927" priority="3710" operator="greaterThanOrEqual">
      <formula>0</formula>
    </cfRule>
  </conditionalFormatting>
  <conditionalFormatting sqref="F214">
    <cfRule type="cellIs" dxfId="926" priority="3711" operator="lessThan">
      <formula>-4100</formula>
    </cfRule>
  </conditionalFormatting>
  <conditionalFormatting sqref="F214">
    <cfRule type="cellIs" dxfId="925" priority="3712" operator="greaterThanOrEqual">
      <formula>0</formula>
    </cfRule>
  </conditionalFormatting>
  <conditionalFormatting sqref="F214">
    <cfRule type="cellIs" dxfId="924" priority="3713" operator="lessThan">
      <formula>-4100</formula>
    </cfRule>
  </conditionalFormatting>
  <conditionalFormatting sqref="E214">
    <cfRule type="cellIs" dxfId="923" priority="3714" operator="greaterThan">
      <formula>0</formula>
    </cfRule>
  </conditionalFormatting>
  <conditionalFormatting sqref="F164">
    <cfRule type="cellIs" dxfId="922" priority="3629" operator="lessThan">
      <formula>-4100</formula>
    </cfRule>
  </conditionalFormatting>
  <conditionalFormatting sqref="F164">
    <cfRule type="cellIs" dxfId="921" priority="3630" operator="greaterThanOrEqual">
      <formula>0</formula>
    </cfRule>
  </conditionalFormatting>
  <conditionalFormatting sqref="F164">
    <cfRule type="cellIs" dxfId="920" priority="3631" operator="greaterThanOrEqual">
      <formula>0</formula>
    </cfRule>
  </conditionalFormatting>
  <conditionalFormatting sqref="F164">
    <cfRule type="cellIs" dxfId="919" priority="3632" operator="lessThan">
      <formula>-4100</formula>
    </cfRule>
  </conditionalFormatting>
  <conditionalFormatting sqref="F164">
    <cfRule type="cellIs" dxfId="918" priority="3633" operator="greaterThanOrEqual">
      <formula>0</formula>
    </cfRule>
  </conditionalFormatting>
  <conditionalFormatting sqref="F164">
    <cfRule type="cellIs" dxfId="917" priority="3634" operator="lessThan">
      <formula>-4100</formula>
    </cfRule>
  </conditionalFormatting>
  <conditionalFormatting sqref="F164">
    <cfRule type="cellIs" dxfId="916" priority="3635" operator="lessThan">
      <formula>-4100</formula>
    </cfRule>
  </conditionalFormatting>
  <conditionalFormatting sqref="F164">
    <cfRule type="cellIs" dxfId="915" priority="3636" operator="greaterThanOrEqual">
      <formula>0</formula>
    </cfRule>
  </conditionalFormatting>
  <conditionalFormatting sqref="F164">
    <cfRule type="cellIs" dxfId="914" priority="3637" operator="greaterThanOrEqual">
      <formula>0</formula>
    </cfRule>
  </conditionalFormatting>
  <conditionalFormatting sqref="F164">
    <cfRule type="cellIs" dxfId="913" priority="3638" operator="lessThan">
      <formula>-4100</formula>
    </cfRule>
  </conditionalFormatting>
  <conditionalFormatting sqref="F164">
    <cfRule type="cellIs" dxfId="912" priority="3639" operator="greaterThanOrEqual">
      <formula>0</formula>
    </cfRule>
  </conditionalFormatting>
  <conditionalFormatting sqref="F164">
    <cfRule type="cellIs" dxfId="911" priority="3640" operator="lessThan">
      <formula>-4100</formula>
    </cfRule>
  </conditionalFormatting>
  <conditionalFormatting sqref="E160:E164">
    <cfRule type="cellIs" dxfId="910" priority="3641" operator="greaterThan">
      <formula>0</formula>
    </cfRule>
  </conditionalFormatting>
  <conditionalFormatting sqref="F164">
    <cfRule type="cellIs" dxfId="909" priority="3642" operator="greaterThanOrEqual">
      <formula>0</formula>
    </cfRule>
  </conditionalFormatting>
  <conditionalFormatting sqref="F164">
    <cfRule type="cellIs" dxfId="908" priority="3643" operator="lessThan">
      <formula>-4100</formula>
    </cfRule>
  </conditionalFormatting>
  <conditionalFormatting sqref="F164">
    <cfRule type="cellIs" dxfId="907" priority="3644" operator="greaterThanOrEqual">
      <formula>0</formula>
    </cfRule>
  </conditionalFormatting>
  <conditionalFormatting sqref="F164">
    <cfRule type="cellIs" dxfId="906" priority="3645" operator="lessThan">
      <formula>-4100</formula>
    </cfRule>
  </conditionalFormatting>
  <conditionalFormatting sqref="F219">
    <cfRule type="cellIs" dxfId="905" priority="3466" operator="lessThan">
      <formula>-4100</formula>
    </cfRule>
  </conditionalFormatting>
  <conditionalFormatting sqref="F219">
    <cfRule type="cellIs" dxfId="904" priority="3467" operator="greaterThanOrEqual">
      <formula>0</formula>
    </cfRule>
  </conditionalFormatting>
  <conditionalFormatting sqref="F219">
    <cfRule type="cellIs" dxfId="903" priority="3468" operator="greaterThanOrEqual">
      <formula>0</formula>
    </cfRule>
  </conditionalFormatting>
  <conditionalFormatting sqref="F219">
    <cfRule type="cellIs" dxfId="902" priority="3469" operator="lessThan">
      <formula>-4100</formula>
    </cfRule>
  </conditionalFormatting>
  <conditionalFormatting sqref="F219">
    <cfRule type="cellIs" dxfId="901" priority="3470" operator="greaterThanOrEqual">
      <formula>0</formula>
    </cfRule>
  </conditionalFormatting>
  <conditionalFormatting sqref="F219">
    <cfRule type="cellIs" dxfId="900" priority="3471" operator="lessThan">
      <formula>-4100</formula>
    </cfRule>
  </conditionalFormatting>
  <conditionalFormatting sqref="F219">
    <cfRule type="cellIs" dxfId="899" priority="3472" operator="greaterThanOrEqual">
      <formula>0</formula>
    </cfRule>
  </conditionalFormatting>
  <conditionalFormatting sqref="F219">
    <cfRule type="cellIs" dxfId="898" priority="3473" operator="lessThan">
      <formula>-4100</formula>
    </cfRule>
  </conditionalFormatting>
  <conditionalFormatting sqref="F219">
    <cfRule type="cellIs" dxfId="897" priority="3474" operator="greaterThanOrEqual">
      <formula>0</formula>
    </cfRule>
  </conditionalFormatting>
  <conditionalFormatting sqref="F219">
    <cfRule type="cellIs" dxfId="896" priority="3475" operator="lessThan">
      <formula>-4100</formula>
    </cfRule>
  </conditionalFormatting>
  <conditionalFormatting sqref="F219">
    <cfRule type="cellIs" dxfId="895" priority="3476" operator="lessThan">
      <formula>-4100</formula>
    </cfRule>
  </conditionalFormatting>
  <conditionalFormatting sqref="F219">
    <cfRule type="cellIs" dxfId="894" priority="3477" operator="greaterThanOrEqual">
      <formula>0</formula>
    </cfRule>
  </conditionalFormatting>
  <conditionalFormatting sqref="F219">
    <cfRule type="cellIs" dxfId="893" priority="3478" operator="greaterThanOrEqual">
      <formula>0</formula>
    </cfRule>
  </conditionalFormatting>
  <conditionalFormatting sqref="F219">
    <cfRule type="cellIs" dxfId="892" priority="3479" operator="lessThan">
      <formula>-4100</formula>
    </cfRule>
  </conditionalFormatting>
  <conditionalFormatting sqref="F219">
    <cfRule type="cellIs" dxfId="891" priority="3480" operator="greaterThanOrEqual">
      <formula>0</formula>
    </cfRule>
  </conditionalFormatting>
  <conditionalFormatting sqref="F219">
    <cfRule type="cellIs" dxfId="890" priority="3481" operator="lessThan">
      <formula>-4100</formula>
    </cfRule>
  </conditionalFormatting>
  <conditionalFormatting sqref="E219">
    <cfRule type="cellIs" dxfId="889" priority="3482" operator="greaterThan">
      <formula>0</formula>
    </cfRule>
  </conditionalFormatting>
  <conditionalFormatting sqref="F224">
    <cfRule type="cellIs" dxfId="888" priority="3432" operator="lessThan">
      <formula>-4100</formula>
    </cfRule>
  </conditionalFormatting>
  <conditionalFormatting sqref="F224">
    <cfRule type="cellIs" dxfId="887" priority="3433" operator="greaterThanOrEqual">
      <formula>0</formula>
    </cfRule>
  </conditionalFormatting>
  <conditionalFormatting sqref="F224">
    <cfRule type="cellIs" dxfId="886" priority="3434" operator="greaterThanOrEqual">
      <formula>0</formula>
    </cfRule>
  </conditionalFormatting>
  <conditionalFormatting sqref="F224">
    <cfRule type="cellIs" dxfId="885" priority="3435" operator="lessThan">
      <formula>-4100</formula>
    </cfRule>
  </conditionalFormatting>
  <conditionalFormatting sqref="F224">
    <cfRule type="cellIs" dxfId="884" priority="3436" operator="greaterThanOrEqual">
      <formula>0</formula>
    </cfRule>
  </conditionalFormatting>
  <conditionalFormatting sqref="F224">
    <cfRule type="cellIs" dxfId="883" priority="3437" operator="lessThan">
      <formula>-4100</formula>
    </cfRule>
  </conditionalFormatting>
  <conditionalFormatting sqref="F224">
    <cfRule type="cellIs" dxfId="882" priority="3438" operator="greaterThanOrEqual">
      <formula>0</formula>
    </cfRule>
  </conditionalFormatting>
  <conditionalFormatting sqref="F224">
    <cfRule type="cellIs" dxfId="881" priority="3439" operator="lessThan">
      <formula>-4100</formula>
    </cfRule>
  </conditionalFormatting>
  <conditionalFormatting sqref="F224">
    <cfRule type="cellIs" dxfId="880" priority="3440" operator="greaterThanOrEqual">
      <formula>0</formula>
    </cfRule>
  </conditionalFormatting>
  <conditionalFormatting sqref="F224">
    <cfRule type="cellIs" dxfId="879" priority="3441" operator="lessThan">
      <formula>-4100</formula>
    </cfRule>
  </conditionalFormatting>
  <conditionalFormatting sqref="F224">
    <cfRule type="cellIs" dxfId="878" priority="3442" operator="lessThan">
      <formula>-4100</formula>
    </cfRule>
  </conditionalFormatting>
  <conditionalFormatting sqref="F224">
    <cfRule type="cellIs" dxfId="877" priority="3443" operator="greaterThanOrEqual">
      <formula>0</formula>
    </cfRule>
  </conditionalFormatting>
  <conditionalFormatting sqref="F224">
    <cfRule type="cellIs" dxfId="876" priority="3444" operator="greaterThanOrEqual">
      <formula>0</formula>
    </cfRule>
  </conditionalFormatting>
  <conditionalFormatting sqref="F224">
    <cfRule type="cellIs" dxfId="875" priority="3445" operator="lessThan">
      <formula>-4100</formula>
    </cfRule>
  </conditionalFormatting>
  <conditionalFormatting sqref="F224">
    <cfRule type="cellIs" dxfId="874" priority="3446" operator="greaterThanOrEqual">
      <formula>0</formula>
    </cfRule>
  </conditionalFormatting>
  <conditionalFormatting sqref="F224">
    <cfRule type="cellIs" dxfId="873" priority="3447" operator="lessThan">
      <formula>-4100</formula>
    </cfRule>
  </conditionalFormatting>
  <conditionalFormatting sqref="E224">
    <cfRule type="cellIs" dxfId="872" priority="3448" operator="greaterThan">
      <formula>0</formula>
    </cfRule>
  </conditionalFormatting>
  <conditionalFormatting sqref="F144">
    <cfRule type="cellIs" dxfId="871" priority="3415" operator="lessThan">
      <formula>-4100</formula>
    </cfRule>
  </conditionalFormatting>
  <conditionalFormatting sqref="F144">
    <cfRule type="cellIs" dxfId="870" priority="3416" operator="greaterThanOrEqual">
      <formula>0</formula>
    </cfRule>
  </conditionalFormatting>
  <conditionalFormatting sqref="F144">
    <cfRule type="cellIs" dxfId="869" priority="3417" operator="greaterThanOrEqual">
      <formula>0</formula>
    </cfRule>
  </conditionalFormatting>
  <conditionalFormatting sqref="F144">
    <cfRule type="cellIs" dxfId="868" priority="3418" operator="lessThan">
      <formula>-4100</formula>
    </cfRule>
  </conditionalFormatting>
  <conditionalFormatting sqref="F144">
    <cfRule type="cellIs" dxfId="867" priority="3419" operator="greaterThanOrEqual">
      <formula>0</formula>
    </cfRule>
  </conditionalFormatting>
  <conditionalFormatting sqref="F144">
    <cfRule type="cellIs" dxfId="866" priority="3420" operator="lessThan">
      <formula>-4100</formula>
    </cfRule>
  </conditionalFormatting>
  <conditionalFormatting sqref="F144">
    <cfRule type="cellIs" dxfId="865" priority="3421" operator="greaterThanOrEqual">
      <formula>0</formula>
    </cfRule>
  </conditionalFormatting>
  <conditionalFormatting sqref="F144">
    <cfRule type="cellIs" dxfId="864" priority="3422" operator="lessThan">
      <formula>-4100</formula>
    </cfRule>
  </conditionalFormatting>
  <conditionalFormatting sqref="F144">
    <cfRule type="cellIs" dxfId="863" priority="3423" operator="greaterThanOrEqual">
      <formula>0</formula>
    </cfRule>
  </conditionalFormatting>
  <conditionalFormatting sqref="F144">
    <cfRule type="cellIs" dxfId="862" priority="3424" operator="lessThan">
      <formula>-4100</formula>
    </cfRule>
  </conditionalFormatting>
  <conditionalFormatting sqref="F144">
    <cfRule type="cellIs" dxfId="861" priority="3425" operator="lessThan">
      <formula>-4100</formula>
    </cfRule>
  </conditionalFormatting>
  <conditionalFormatting sqref="F144">
    <cfRule type="cellIs" dxfId="860" priority="3426" operator="greaterThanOrEqual">
      <formula>0</formula>
    </cfRule>
  </conditionalFormatting>
  <conditionalFormatting sqref="F144">
    <cfRule type="cellIs" dxfId="859" priority="3427" operator="greaterThanOrEqual">
      <formula>0</formula>
    </cfRule>
  </conditionalFormatting>
  <conditionalFormatting sqref="F144">
    <cfRule type="cellIs" dxfId="858" priority="3428" operator="lessThan">
      <formula>-4100</formula>
    </cfRule>
  </conditionalFormatting>
  <conditionalFormatting sqref="F144">
    <cfRule type="cellIs" dxfId="857" priority="3429" operator="greaterThanOrEqual">
      <formula>0</formula>
    </cfRule>
  </conditionalFormatting>
  <conditionalFormatting sqref="F144">
    <cfRule type="cellIs" dxfId="856" priority="3430" operator="lessThan">
      <formula>-4100</formula>
    </cfRule>
  </conditionalFormatting>
  <conditionalFormatting sqref="E144">
    <cfRule type="cellIs" dxfId="855" priority="3431" operator="greaterThan">
      <formula>0</formula>
    </cfRule>
  </conditionalFormatting>
  <conditionalFormatting sqref="F194">
    <cfRule type="cellIs" dxfId="854" priority="3355" operator="greaterThanOrEqual">
      <formula>0</formula>
    </cfRule>
  </conditionalFormatting>
  <conditionalFormatting sqref="F194">
    <cfRule type="cellIs" dxfId="853" priority="3356" operator="lessThan">
      <formula>-4100</formula>
    </cfRule>
  </conditionalFormatting>
  <conditionalFormatting sqref="F194">
    <cfRule type="cellIs" dxfId="852" priority="3357" operator="greaterThanOrEqual">
      <formula>0</formula>
    </cfRule>
  </conditionalFormatting>
  <conditionalFormatting sqref="F194">
    <cfRule type="cellIs" dxfId="851" priority="3358" operator="lessThan">
      <formula>-4100</formula>
    </cfRule>
  </conditionalFormatting>
  <conditionalFormatting sqref="E194">
    <cfRule type="cellIs" dxfId="850" priority="3359" operator="greaterThan">
      <formula>0</formula>
    </cfRule>
  </conditionalFormatting>
  <conditionalFormatting sqref="F194">
    <cfRule type="cellIs" dxfId="849" priority="3360" operator="greaterThanOrEqual">
      <formula>0</formula>
    </cfRule>
  </conditionalFormatting>
  <conditionalFormatting sqref="F194">
    <cfRule type="cellIs" dxfId="848" priority="3361" operator="lessThan">
      <formula>-4100</formula>
    </cfRule>
  </conditionalFormatting>
  <conditionalFormatting sqref="F194">
    <cfRule type="cellIs" dxfId="847" priority="3362" operator="greaterThanOrEqual">
      <formula>0</formula>
    </cfRule>
  </conditionalFormatting>
  <conditionalFormatting sqref="F194">
    <cfRule type="cellIs" dxfId="846" priority="3363" operator="lessThan">
      <formula>-4100</formula>
    </cfRule>
  </conditionalFormatting>
  <conditionalFormatting sqref="F194">
    <cfRule type="cellIs" dxfId="845" priority="3364" operator="greaterThanOrEqual">
      <formula>0</formula>
    </cfRule>
  </conditionalFormatting>
  <conditionalFormatting sqref="F194">
    <cfRule type="cellIs" dxfId="844" priority="3365" operator="lessThan">
      <formula>-4100</formula>
    </cfRule>
  </conditionalFormatting>
  <conditionalFormatting sqref="F194">
    <cfRule type="cellIs" dxfId="843" priority="3366" operator="greaterThanOrEqual">
      <formula>0</formula>
    </cfRule>
  </conditionalFormatting>
  <conditionalFormatting sqref="F194">
    <cfRule type="cellIs" dxfId="842" priority="3367" operator="lessThan">
      <formula>-4100</formula>
    </cfRule>
  </conditionalFormatting>
  <conditionalFormatting sqref="F194">
    <cfRule type="cellIs" dxfId="841" priority="3368" operator="greaterThanOrEqual">
      <formula>0</formula>
    </cfRule>
  </conditionalFormatting>
  <conditionalFormatting sqref="F194">
    <cfRule type="cellIs" dxfId="840" priority="3369" operator="lessThan">
      <formula>-4100</formula>
    </cfRule>
  </conditionalFormatting>
  <conditionalFormatting sqref="F194">
    <cfRule type="cellIs" dxfId="839" priority="3370" operator="greaterThanOrEqual">
      <formula>0</formula>
    </cfRule>
  </conditionalFormatting>
  <conditionalFormatting sqref="F194">
    <cfRule type="cellIs" dxfId="838" priority="3371" operator="lessThan">
      <formula>-4100</formula>
    </cfRule>
  </conditionalFormatting>
  <conditionalFormatting sqref="F34">
    <cfRule type="cellIs" dxfId="837" priority="3338" operator="lessThan">
      <formula>-4100</formula>
    </cfRule>
  </conditionalFormatting>
  <conditionalFormatting sqref="F34">
    <cfRule type="cellIs" dxfId="836" priority="3339" operator="greaterThanOrEqual">
      <formula>0</formula>
    </cfRule>
  </conditionalFormatting>
  <conditionalFormatting sqref="F34">
    <cfRule type="cellIs" dxfId="835" priority="3340" operator="greaterThanOrEqual">
      <formula>0</formula>
    </cfRule>
  </conditionalFormatting>
  <conditionalFormatting sqref="F34">
    <cfRule type="cellIs" dxfId="834" priority="3341" operator="lessThan">
      <formula>-4100</formula>
    </cfRule>
  </conditionalFormatting>
  <conditionalFormatting sqref="F34">
    <cfRule type="cellIs" dxfId="833" priority="3342" operator="greaterThanOrEqual">
      <formula>0</formula>
    </cfRule>
  </conditionalFormatting>
  <conditionalFormatting sqref="F34">
    <cfRule type="cellIs" dxfId="832" priority="3343" operator="lessThan">
      <formula>-4100</formula>
    </cfRule>
  </conditionalFormatting>
  <conditionalFormatting sqref="F34">
    <cfRule type="cellIs" dxfId="831" priority="3344" operator="greaterThanOrEqual">
      <formula>0</formula>
    </cfRule>
  </conditionalFormatting>
  <conditionalFormatting sqref="F34">
    <cfRule type="cellIs" dxfId="830" priority="3345" operator="lessThan">
      <formula>-4100</formula>
    </cfRule>
  </conditionalFormatting>
  <conditionalFormatting sqref="F34">
    <cfRule type="cellIs" dxfId="829" priority="3346" operator="greaterThanOrEqual">
      <formula>0</formula>
    </cfRule>
  </conditionalFormatting>
  <conditionalFormatting sqref="F34">
    <cfRule type="cellIs" dxfId="828" priority="3347" operator="lessThan">
      <formula>-4100</formula>
    </cfRule>
  </conditionalFormatting>
  <conditionalFormatting sqref="F34">
    <cfRule type="cellIs" dxfId="827" priority="3348" operator="lessThan">
      <formula>-4100</formula>
    </cfRule>
  </conditionalFormatting>
  <conditionalFormatting sqref="F34">
    <cfRule type="cellIs" dxfId="826" priority="3349" operator="greaterThanOrEqual">
      <formula>0</formula>
    </cfRule>
  </conditionalFormatting>
  <conditionalFormatting sqref="F34">
    <cfRule type="cellIs" dxfId="825" priority="3350" operator="greaterThanOrEqual">
      <formula>0</formula>
    </cfRule>
  </conditionalFormatting>
  <conditionalFormatting sqref="F34">
    <cfRule type="cellIs" dxfId="824" priority="3351" operator="lessThan">
      <formula>-4100</formula>
    </cfRule>
  </conditionalFormatting>
  <conditionalFormatting sqref="F34">
    <cfRule type="cellIs" dxfId="823" priority="3352" operator="greaterThanOrEqual">
      <formula>0</formula>
    </cfRule>
  </conditionalFormatting>
  <conditionalFormatting sqref="F34">
    <cfRule type="cellIs" dxfId="822" priority="3353" operator="lessThan">
      <formula>-4100</formula>
    </cfRule>
  </conditionalFormatting>
  <conditionalFormatting sqref="E34">
    <cfRule type="cellIs" dxfId="821" priority="3354" operator="greaterThan">
      <formula>0</formula>
    </cfRule>
  </conditionalFormatting>
  <conditionalFormatting sqref="F330">
    <cfRule type="cellIs" dxfId="820" priority="3329" operator="lessThan">
      <formula>-4100</formula>
    </cfRule>
  </conditionalFormatting>
  <conditionalFormatting sqref="F330">
    <cfRule type="cellIs" dxfId="819" priority="3330" operator="greaterThanOrEqual">
      <formula>0</formula>
    </cfRule>
  </conditionalFormatting>
  <conditionalFormatting sqref="F330">
    <cfRule type="cellIs" dxfId="818" priority="3331" operator="greaterThanOrEqual">
      <formula>0</formula>
    </cfRule>
  </conditionalFormatting>
  <conditionalFormatting sqref="F330">
    <cfRule type="cellIs" dxfId="817" priority="3332" operator="lessThan">
      <formula>-4100</formula>
    </cfRule>
  </conditionalFormatting>
  <conditionalFormatting sqref="F330">
    <cfRule type="cellIs" dxfId="816" priority="3333" operator="greaterThanOrEqual">
      <formula>0</formula>
    </cfRule>
  </conditionalFormatting>
  <conditionalFormatting sqref="F330">
    <cfRule type="cellIs" dxfId="815" priority="3334" operator="lessThan">
      <formula>-4100</formula>
    </cfRule>
  </conditionalFormatting>
  <conditionalFormatting sqref="F330">
    <cfRule type="cellIs" dxfId="814" priority="3335" operator="greaterThanOrEqual">
      <formula>0</formula>
    </cfRule>
  </conditionalFormatting>
  <conditionalFormatting sqref="F330">
    <cfRule type="cellIs" dxfId="813" priority="3336" operator="lessThan">
      <formula>-4100</formula>
    </cfRule>
  </conditionalFormatting>
  <conditionalFormatting sqref="E330">
    <cfRule type="cellIs" dxfId="812" priority="3337" operator="greaterThan">
      <formula>0</formula>
    </cfRule>
  </conditionalFormatting>
  <conditionalFormatting sqref="F335">
    <cfRule type="cellIs" dxfId="811" priority="3320" operator="lessThan">
      <formula>-4100</formula>
    </cfRule>
  </conditionalFormatting>
  <conditionalFormatting sqref="F335">
    <cfRule type="cellIs" dxfId="810" priority="3321" operator="greaterThanOrEqual">
      <formula>0</formula>
    </cfRule>
  </conditionalFormatting>
  <conditionalFormatting sqref="F335">
    <cfRule type="cellIs" dxfId="809" priority="3322" operator="greaterThanOrEqual">
      <formula>0</formula>
    </cfRule>
  </conditionalFormatting>
  <conditionalFormatting sqref="F335">
    <cfRule type="cellIs" dxfId="808" priority="3323" operator="lessThan">
      <formula>-4100</formula>
    </cfRule>
  </conditionalFormatting>
  <conditionalFormatting sqref="F335">
    <cfRule type="cellIs" dxfId="807" priority="3324" operator="greaterThanOrEqual">
      <formula>0</formula>
    </cfRule>
  </conditionalFormatting>
  <conditionalFormatting sqref="F335">
    <cfRule type="cellIs" dxfId="806" priority="3325" operator="lessThan">
      <formula>-4100</formula>
    </cfRule>
  </conditionalFormatting>
  <conditionalFormatting sqref="F335">
    <cfRule type="cellIs" dxfId="805" priority="3326" operator="greaterThanOrEqual">
      <formula>0</formula>
    </cfRule>
  </conditionalFormatting>
  <conditionalFormatting sqref="F335">
    <cfRule type="cellIs" dxfId="804" priority="3327" operator="lessThan">
      <formula>-4100</formula>
    </cfRule>
  </conditionalFormatting>
  <conditionalFormatting sqref="E335">
    <cfRule type="cellIs" dxfId="803" priority="3328" operator="greaterThan">
      <formula>0</formula>
    </cfRule>
  </conditionalFormatting>
  <conditionalFormatting sqref="F44">
    <cfRule type="cellIs" dxfId="802" priority="3303" operator="lessThan">
      <formula>-4100</formula>
    </cfRule>
  </conditionalFormatting>
  <conditionalFormatting sqref="F44">
    <cfRule type="cellIs" dxfId="801" priority="3304" operator="greaterThanOrEqual">
      <formula>0</formula>
    </cfRule>
  </conditionalFormatting>
  <conditionalFormatting sqref="F44">
    <cfRule type="cellIs" dxfId="800" priority="3305" operator="greaterThanOrEqual">
      <formula>0</formula>
    </cfRule>
  </conditionalFormatting>
  <conditionalFormatting sqref="F44">
    <cfRule type="cellIs" dxfId="799" priority="3306" operator="lessThan">
      <formula>-4100</formula>
    </cfRule>
  </conditionalFormatting>
  <conditionalFormatting sqref="F44">
    <cfRule type="cellIs" dxfId="798" priority="3307" operator="greaterThanOrEqual">
      <formula>0</formula>
    </cfRule>
  </conditionalFormatting>
  <conditionalFormatting sqref="F44">
    <cfRule type="cellIs" dxfId="797" priority="3308" operator="lessThan">
      <formula>-4100</formula>
    </cfRule>
  </conditionalFormatting>
  <conditionalFormatting sqref="F44">
    <cfRule type="cellIs" dxfId="796" priority="3309" operator="greaterThanOrEqual">
      <formula>0</formula>
    </cfRule>
  </conditionalFormatting>
  <conditionalFormatting sqref="F44">
    <cfRule type="cellIs" dxfId="795" priority="3310" operator="lessThan">
      <formula>-4100</formula>
    </cfRule>
  </conditionalFormatting>
  <conditionalFormatting sqref="F44">
    <cfRule type="cellIs" dxfId="794" priority="3311" operator="greaterThanOrEqual">
      <formula>0</formula>
    </cfRule>
  </conditionalFormatting>
  <conditionalFormatting sqref="F44">
    <cfRule type="cellIs" dxfId="793" priority="3312" operator="lessThan">
      <formula>-4100</formula>
    </cfRule>
  </conditionalFormatting>
  <conditionalFormatting sqref="F44">
    <cfRule type="cellIs" dxfId="792" priority="3313" operator="lessThan">
      <formula>-4100</formula>
    </cfRule>
  </conditionalFormatting>
  <conditionalFormatting sqref="F44">
    <cfRule type="cellIs" dxfId="791" priority="3314" operator="greaterThanOrEqual">
      <formula>0</formula>
    </cfRule>
  </conditionalFormatting>
  <conditionalFormatting sqref="F44">
    <cfRule type="cellIs" dxfId="790" priority="3315" operator="greaterThanOrEqual">
      <formula>0</formula>
    </cfRule>
  </conditionalFormatting>
  <conditionalFormatting sqref="F44">
    <cfRule type="cellIs" dxfId="789" priority="3316" operator="lessThan">
      <formula>-4100</formula>
    </cfRule>
  </conditionalFormatting>
  <conditionalFormatting sqref="F44">
    <cfRule type="cellIs" dxfId="788" priority="3317" operator="greaterThanOrEqual">
      <formula>0</formula>
    </cfRule>
  </conditionalFormatting>
  <conditionalFormatting sqref="F44">
    <cfRule type="cellIs" dxfId="787" priority="3318" operator="lessThan">
      <formula>-4100</formula>
    </cfRule>
  </conditionalFormatting>
  <conditionalFormatting sqref="E44">
    <cfRule type="cellIs" dxfId="786" priority="3319" operator="greaterThan">
      <formula>0</formula>
    </cfRule>
  </conditionalFormatting>
  <conditionalFormatting sqref="F189">
    <cfRule type="cellIs" dxfId="785" priority="3286" operator="greaterThanOrEqual">
      <formula>0</formula>
    </cfRule>
  </conditionalFormatting>
  <conditionalFormatting sqref="F189">
    <cfRule type="cellIs" dxfId="784" priority="3287" operator="lessThan">
      <formula>-4100</formula>
    </cfRule>
  </conditionalFormatting>
  <conditionalFormatting sqref="F189">
    <cfRule type="cellIs" dxfId="783" priority="3288" operator="greaterThanOrEqual">
      <formula>0</formula>
    </cfRule>
  </conditionalFormatting>
  <conditionalFormatting sqref="F189">
    <cfRule type="cellIs" dxfId="782" priority="3289" operator="lessThan">
      <formula>-4100</formula>
    </cfRule>
  </conditionalFormatting>
  <conditionalFormatting sqref="E189">
    <cfRule type="cellIs" dxfId="781" priority="3290" operator="greaterThan">
      <formula>0</formula>
    </cfRule>
  </conditionalFormatting>
  <conditionalFormatting sqref="F189">
    <cfRule type="cellIs" dxfId="780" priority="3291" operator="greaterThanOrEqual">
      <formula>0</formula>
    </cfRule>
  </conditionalFormatting>
  <conditionalFormatting sqref="F189">
    <cfRule type="cellIs" dxfId="779" priority="3292" operator="lessThan">
      <formula>-4100</formula>
    </cfRule>
  </conditionalFormatting>
  <conditionalFormatting sqref="F189">
    <cfRule type="cellIs" dxfId="778" priority="3293" operator="greaterThanOrEqual">
      <formula>0</formula>
    </cfRule>
  </conditionalFormatting>
  <conditionalFormatting sqref="F189">
    <cfRule type="cellIs" dxfId="777" priority="3294" operator="lessThan">
      <formula>-4100</formula>
    </cfRule>
  </conditionalFormatting>
  <conditionalFormatting sqref="F189">
    <cfRule type="cellIs" dxfId="776" priority="3295" operator="greaterThanOrEqual">
      <formula>0</formula>
    </cfRule>
  </conditionalFormatting>
  <conditionalFormatting sqref="F189">
    <cfRule type="cellIs" dxfId="775" priority="3296" operator="lessThan">
      <formula>-4100</formula>
    </cfRule>
  </conditionalFormatting>
  <conditionalFormatting sqref="F189">
    <cfRule type="cellIs" dxfId="774" priority="3297" operator="greaterThanOrEqual">
      <formula>0</formula>
    </cfRule>
  </conditionalFormatting>
  <conditionalFormatting sqref="F189">
    <cfRule type="cellIs" dxfId="773" priority="3298" operator="lessThan">
      <formula>-4100</formula>
    </cfRule>
  </conditionalFormatting>
  <conditionalFormatting sqref="F189">
    <cfRule type="cellIs" dxfId="772" priority="3299" operator="greaterThanOrEqual">
      <formula>0</formula>
    </cfRule>
  </conditionalFormatting>
  <conditionalFormatting sqref="F189">
    <cfRule type="cellIs" dxfId="771" priority="3300" operator="lessThan">
      <formula>-4100</formula>
    </cfRule>
  </conditionalFormatting>
  <conditionalFormatting sqref="F189">
    <cfRule type="cellIs" dxfId="770" priority="3301" operator="greaterThanOrEqual">
      <formula>0</formula>
    </cfRule>
  </conditionalFormatting>
  <conditionalFormatting sqref="F189">
    <cfRule type="cellIs" dxfId="769" priority="3302" operator="lessThan">
      <formula>-4100</formula>
    </cfRule>
  </conditionalFormatting>
  <conditionalFormatting sqref="F139">
    <cfRule type="cellIs" dxfId="768" priority="3098" operator="lessThan">
      <formula>-4100</formula>
    </cfRule>
  </conditionalFormatting>
  <conditionalFormatting sqref="F139">
    <cfRule type="cellIs" dxfId="767" priority="3099" operator="greaterThanOrEqual">
      <formula>0</formula>
    </cfRule>
  </conditionalFormatting>
  <conditionalFormatting sqref="F139">
    <cfRule type="cellIs" dxfId="766" priority="3100" operator="greaterThanOrEqual">
      <formula>0</formula>
    </cfRule>
  </conditionalFormatting>
  <conditionalFormatting sqref="F139">
    <cfRule type="cellIs" dxfId="765" priority="3101" operator="lessThan">
      <formula>-4100</formula>
    </cfRule>
  </conditionalFormatting>
  <conditionalFormatting sqref="F139">
    <cfRule type="cellIs" dxfId="764" priority="3102" operator="greaterThanOrEqual">
      <formula>0</formula>
    </cfRule>
  </conditionalFormatting>
  <conditionalFormatting sqref="F139">
    <cfRule type="cellIs" dxfId="763" priority="3103" operator="lessThan">
      <formula>-4100</formula>
    </cfRule>
  </conditionalFormatting>
  <conditionalFormatting sqref="F139">
    <cfRule type="cellIs" dxfId="762" priority="3104" operator="greaterThanOrEqual">
      <formula>0</formula>
    </cfRule>
  </conditionalFormatting>
  <conditionalFormatting sqref="F139">
    <cfRule type="cellIs" dxfId="761" priority="3105" operator="lessThan">
      <formula>-4100</formula>
    </cfRule>
  </conditionalFormatting>
  <conditionalFormatting sqref="F139">
    <cfRule type="cellIs" dxfId="760" priority="3106" operator="greaterThanOrEqual">
      <formula>0</formula>
    </cfRule>
  </conditionalFormatting>
  <conditionalFormatting sqref="F139">
    <cfRule type="cellIs" dxfId="759" priority="3107" operator="lessThan">
      <formula>-4100</formula>
    </cfRule>
  </conditionalFormatting>
  <conditionalFormatting sqref="F139">
    <cfRule type="cellIs" dxfId="758" priority="3108" operator="lessThan">
      <formula>-4100</formula>
    </cfRule>
  </conditionalFormatting>
  <conditionalFormatting sqref="F139">
    <cfRule type="cellIs" dxfId="757" priority="3109" operator="greaterThanOrEqual">
      <formula>0</formula>
    </cfRule>
  </conditionalFormatting>
  <conditionalFormatting sqref="F139">
    <cfRule type="cellIs" dxfId="756" priority="3110" operator="greaterThanOrEqual">
      <formula>0</formula>
    </cfRule>
  </conditionalFormatting>
  <conditionalFormatting sqref="F139">
    <cfRule type="cellIs" dxfId="755" priority="3111" operator="lessThan">
      <formula>-4100</formula>
    </cfRule>
  </conditionalFormatting>
  <conditionalFormatting sqref="F139">
    <cfRule type="cellIs" dxfId="754" priority="3112" operator="greaterThanOrEqual">
      <formula>0</formula>
    </cfRule>
  </conditionalFormatting>
  <conditionalFormatting sqref="F139">
    <cfRule type="cellIs" dxfId="753" priority="3113" operator="lessThan">
      <formula>-4100</formula>
    </cfRule>
  </conditionalFormatting>
  <conditionalFormatting sqref="E139">
    <cfRule type="cellIs" dxfId="752" priority="3114" operator="greaterThan">
      <formula>0</formula>
    </cfRule>
  </conditionalFormatting>
  <conditionalFormatting sqref="H15">
    <cfRule type="expression" dxfId="751" priority="3013">
      <formula>H15&lt;($D$3-6%)</formula>
    </cfRule>
  </conditionalFormatting>
  <conditionalFormatting sqref="H15">
    <cfRule type="expression" dxfId="750" priority="3014">
      <formula>H15&gt;($D$3+6%)</formula>
    </cfRule>
  </conditionalFormatting>
  <conditionalFormatting sqref="H15">
    <cfRule type="expression" dxfId="749" priority="3015">
      <formula>H15&lt;($D$3-3%)</formula>
    </cfRule>
  </conditionalFormatting>
  <conditionalFormatting sqref="H15">
    <cfRule type="expression" dxfId="748" priority="3016">
      <formula>H15&gt;($D$3+3%)</formula>
    </cfRule>
  </conditionalFormatting>
  <conditionalFormatting sqref="H16">
    <cfRule type="expression" dxfId="747" priority="3017">
      <formula>H16&lt;($D$3-6%)</formula>
    </cfRule>
  </conditionalFormatting>
  <conditionalFormatting sqref="H16">
    <cfRule type="expression" dxfId="746" priority="3018">
      <formula>H16&gt;($D$3+6%)</formula>
    </cfRule>
  </conditionalFormatting>
  <conditionalFormatting sqref="H16">
    <cfRule type="expression" dxfId="745" priority="3019">
      <formula>H16&lt;($D$3-3%)</formula>
    </cfRule>
  </conditionalFormatting>
  <conditionalFormatting sqref="H16">
    <cfRule type="expression" dxfId="744" priority="3020">
      <formula>H16&gt;($D$3+3%)</formula>
    </cfRule>
  </conditionalFormatting>
  <conditionalFormatting sqref="F19">
    <cfRule type="cellIs" dxfId="743" priority="2996" operator="lessThan">
      <formula>-4100</formula>
    </cfRule>
  </conditionalFormatting>
  <conditionalFormatting sqref="F19">
    <cfRule type="cellIs" dxfId="742" priority="2997" operator="greaterThanOrEqual">
      <formula>0</formula>
    </cfRule>
  </conditionalFormatting>
  <conditionalFormatting sqref="F19">
    <cfRule type="cellIs" dxfId="741" priority="2998" operator="greaterThanOrEqual">
      <formula>0</formula>
    </cfRule>
  </conditionalFormatting>
  <conditionalFormatting sqref="F19">
    <cfRule type="cellIs" dxfId="740" priority="2999" operator="lessThan">
      <formula>-4100</formula>
    </cfRule>
  </conditionalFormatting>
  <conditionalFormatting sqref="F19">
    <cfRule type="cellIs" dxfId="739" priority="3000" operator="greaterThanOrEqual">
      <formula>0</formula>
    </cfRule>
  </conditionalFormatting>
  <conditionalFormatting sqref="F19">
    <cfRule type="cellIs" dxfId="738" priority="3001" operator="lessThan">
      <formula>-4100</formula>
    </cfRule>
  </conditionalFormatting>
  <conditionalFormatting sqref="F19">
    <cfRule type="cellIs" dxfId="737" priority="3002" operator="greaterThanOrEqual">
      <formula>0</formula>
    </cfRule>
  </conditionalFormatting>
  <conditionalFormatting sqref="F19">
    <cfRule type="cellIs" dxfId="736" priority="3003" operator="lessThan">
      <formula>-4100</formula>
    </cfRule>
  </conditionalFormatting>
  <conditionalFormatting sqref="F19">
    <cfRule type="cellIs" dxfId="735" priority="3004" operator="greaterThanOrEqual">
      <formula>0</formula>
    </cfRule>
  </conditionalFormatting>
  <conditionalFormatting sqref="F19">
    <cfRule type="cellIs" dxfId="734" priority="3005" operator="lessThan">
      <formula>-4100</formula>
    </cfRule>
  </conditionalFormatting>
  <conditionalFormatting sqref="F19">
    <cfRule type="cellIs" dxfId="733" priority="3006" operator="lessThan">
      <formula>-4100</formula>
    </cfRule>
  </conditionalFormatting>
  <conditionalFormatting sqref="F19">
    <cfRule type="cellIs" dxfId="732" priority="3007" operator="greaterThanOrEqual">
      <formula>0</formula>
    </cfRule>
  </conditionalFormatting>
  <conditionalFormatting sqref="F19">
    <cfRule type="cellIs" dxfId="731" priority="3008" operator="greaterThanOrEqual">
      <formula>0</formula>
    </cfRule>
  </conditionalFormatting>
  <conditionalFormatting sqref="F19">
    <cfRule type="cellIs" dxfId="730" priority="3009" operator="lessThan">
      <formula>-4100</formula>
    </cfRule>
  </conditionalFormatting>
  <conditionalFormatting sqref="F19">
    <cfRule type="cellIs" dxfId="729" priority="3010" operator="greaterThanOrEqual">
      <formula>0</formula>
    </cfRule>
  </conditionalFormatting>
  <conditionalFormatting sqref="F19">
    <cfRule type="cellIs" dxfId="728" priority="3011" operator="lessThan">
      <formula>-4100</formula>
    </cfRule>
  </conditionalFormatting>
  <conditionalFormatting sqref="E19">
    <cfRule type="cellIs" dxfId="727" priority="3012" operator="greaterThan">
      <formula>0</formula>
    </cfRule>
  </conditionalFormatting>
  <conditionalFormatting sqref="F39">
    <cfRule type="cellIs" dxfId="726" priority="2937" operator="lessThan">
      <formula>-4100</formula>
    </cfRule>
  </conditionalFormatting>
  <conditionalFormatting sqref="F39">
    <cfRule type="cellIs" dxfId="725" priority="2938" operator="greaterThanOrEqual">
      <formula>0</formula>
    </cfRule>
  </conditionalFormatting>
  <conditionalFormatting sqref="F39">
    <cfRule type="cellIs" dxfId="724" priority="2939" operator="greaterThanOrEqual">
      <formula>0</formula>
    </cfRule>
  </conditionalFormatting>
  <conditionalFormatting sqref="F39">
    <cfRule type="cellIs" dxfId="723" priority="2940" operator="lessThan">
      <formula>-4100</formula>
    </cfRule>
  </conditionalFormatting>
  <conditionalFormatting sqref="F39">
    <cfRule type="cellIs" dxfId="722" priority="2941" operator="greaterThanOrEqual">
      <formula>0</formula>
    </cfRule>
  </conditionalFormatting>
  <conditionalFormatting sqref="F39">
    <cfRule type="cellIs" dxfId="721" priority="2942" operator="lessThan">
      <formula>-4100</formula>
    </cfRule>
  </conditionalFormatting>
  <conditionalFormatting sqref="F39">
    <cfRule type="cellIs" dxfId="720" priority="2943" operator="greaterThanOrEqual">
      <formula>0</formula>
    </cfRule>
  </conditionalFormatting>
  <conditionalFormatting sqref="F39">
    <cfRule type="cellIs" dxfId="719" priority="2944" operator="lessThan">
      <formula>-4100</formula>
    </cfRule>
  </conditionalFormatting>
  <conditionalFormatting sqref="F39">
    <cfRule type="cellIs" dxfId="718" priority="2945" operator="greaterThanOrEqual">
      <formula>0</formula>
    </cfRule>
  </conditionalFormatting>
  <conditionalFormatting sqref="F39">
    <cfRule type="cellIs" dxfId="717" priority="2946" operator="lessThan">
      <formula>-4100</formula>
    </cfRule>
  </conditionalFormatting>
  <conditionalFormatting sqref="F39">
    <cfRule type="cellIs" dxfId="716" priority="2947" operator="lessThan">
      <formula>-4100</formula>
    </cfRule>
  </conditionalFormatting>
  <conditionalFormatting sqref="F39">
    <cfRule type="cellIs" dxfId="715" priority="2948" operator="greaterThanOrEqual">
      <formula>0</formula>
    </cfRule>
  </conditionalFormatting>
  <conditionalFormatting sqref="F39">
    <cfRule type="cellIs" dxfId="714" priority="2949" operator="greaterThanOrEqual">
      <formula>0</formula>
    </cfRule>
  </conditionalFormatting>
  <conditionalFormatting sqref="F39">
    <cfRule type="cellIs" dxfId="713" priority="2950" operator="lessThan">
      <formula>-4100</formula>
    </cfRule>
  </conditionalFormatting>
  <conditionalFormatting sqref="F39">
    <cfRule type="cellIs" dxfId="712" priority="2951" operator="greaterThanOrEqual">
      <formula>0</formula>
    </cfRule>
  </conditionalFormatting>
  <conditionalFormatting sqref="F39">
    <cfRule type="cellIs" dxfId="711" priority="2952" operator="lessThan">
      <formula>-4100</formula>
    </cfRule>
  </conditionalFormatting>
  <conditionalFormatting sqref="E39">
    <cfRule type="cellIs" dxfId="710" priority="2953" operator="greaterThan">
      <formula>0</formula>
    </cfRule>
  </conditionalFormatting>
  <conditionalFormatting sqref="F74">
    <cfRule type="cellIs" dxfId="709" priority="2895" operator="lessThan">
      <formula>-4100</formula>
    </cfRule>
  </conditionalFormatting>
  <conditionalFormatting sqref="F74">
    <cfRule type="cellIs" dxfId="708" priority="2896" operator="greaterThanOrEqual">
      <formula>0</formula>
    </cfRule>
  </conditionalFormatting>
  <conditionalFormatting sqref="F74">
    <cfRule type="cellIs" dxfId="707" priority="2897" operator="greaterThanOrEqual">
      <formula>0</formula>
    </cfRule>
  </conditionalFormatting>
  <conditionalFormatting sqref="F74">
    <cfRule type="cellIs" dxfId="706" priority="2898" operator="lessThan">
      <formula>-4100</formula>
    </cfRule>
  </conditionalFormatting>
  <conditionalFormatting sqref="F74">
    <cfRule type="cellIs" dxfId="705" priority="2899" operator="greaterThanOrEqual">
      <formula>0</formula>
    </cfRule>
  </conditionalFormatting>
  <conditionalFormatting sqref="F74">
    <cfRule type="cellIs" dxfId="704" priority="2900" operator="lessThan">
      <formula>-4100</formula>
    </cfRule>
  </conditionalFormatting>
  <conditionalFormatting sqref="F74">
    <cfRule type="cellIs" dxfId="703" priority="2901" operator="greaterThanOrEqual">
      <formula>0</formula>
    </cfRule>
  </conditionalFormatting>
  <conditionalFormatting sqref="F74">
    <cfRule type="cellIs" dxfId="702" priority="2902" operator="lessThan">
      <formula>-4100</formula>
    </cfRule>
  </conditionalFormatting>
  <conditionalFormatting sqref="F74">
    <cfRule type="cellIs" dxfId="701" priority="2903" operator="greaterThanOrEqual">
      <formula>0</formula>
    </cfRule>
  </conditionalFormatting>
  <conditionalFormatting sqref="F74">
    <cfRule type="cellIs" dxfId="700" priority="2904" operator="lessThan">
      <formula>-4100</formula>
    </cfRule>
  </conditionalFormatting>
  <conditionalFormatting sqref="F74">
    <cfRule type="cellIs" dxfId="699" priority="2905" operator="lessThan">
      <formula>-4100</formula>
    </cfRule>
  </conditionalFormatting>
  <conditionalFormatting sqref="F74">
    <cfRule type="cellIs" dxfId="698" priority="2906" operator="greaterThanOrEqual">
      <formula>0</formula>
    </cfRule>
  </conditionalFormatting>
  <conditionalFormatting sqref="F74">
    <cfRule type="cellIs" dxfId="697" priority="2907" operator="greaterThanOrEqual">
      <formula>0</formula>
    </cfRule>
  </conditionalFormatting>
  <conditionalFormatting sqref="F74">
    <cfRule type="cellIs" dxfId="696" priority="2908" operator="lessThan">
      <formula>-4100</formula>
    </cfRule>
  </conditionalFormatting>
  <conditionalFormatting sqref="F74">
    <cfRule type="cellIs" dxfId="695" priority="2909" operator="greaterThanOrEqual">
      <formula>0</formula>
    </cfRule>
  </conditionalFormatting>
  <conditionalFormatting sqref="F74">
    <cfRule type="cellIs" dxfId="694" priority="2910" operator="lessThan">
      <formula>-4100</formula>
    </cfRule>
  </conditionalFormatting>
  <conditionalFormatting sqref="E74">
    <cfRule type="cellIs" dxfId="693" priority="2911" operator="greaterThan">
      <formula>0</formula>
    </cfRule>
  </conditionalFormatting>
  <conditionalFormatting sqref="F204">
    <cfRule type="cellIs" dxfId="692" priority="2836" operator="lessThan">
      <formula>-4100</formula>
    </cfRule>
  </conditionalFormatting>
  <conditionalFormatting sqref="F204">
    <cfRule type="cellIs" dxfId="691" priority="2837" operator="greaterThanOrEqual">
      <formula>0</formula>
    </cfRule>
  </conditionalFormatting>
  <conditionalFormatting sqref="F204">
    <cfRule type="cellIs" dxfId="690" priority="2838" operator="greaterThanOrEqual">
      <formula>0</formula>
    </cfRule>
  </conditionalFormatting>
  <conditionalFormatting sqref="F204">
    <cfRule type="cellIs" dxfId="689" priority="2839" operator="lessThan">
      <formula>-4100</formula>
    </cfRule>
  </conditionalFormatting>
  <conditionalFormatting sqref="F204">
    <cfRule type="cellIs" dxfId="688" priority="2840" operator="greaterThanOrEqual">
      <formula>0</formula>
    </cfRule>
  </conditionalFormatting>
  <conditionalFormatting sqref="F204">
    <cfRule type="cellIs" dxfId="687" priority="2841" operator="lessThan">
      <formula>-4100</formula>
    </cfRule>
  </conditionalFormatting>
  <conditionalFormatting sqref="F204">
    <cfRule type="cellIs" dxfId="686" priority="2842" operator="greaterThanOrEqual">
      <formula>0</formula>
    </cfRule>
  </conditionalFormatting>
  <conditionalFormatting sqref="F204">
    <cfRule type="cellIs" dxfId="685" priority="2843" operator="lessThan">
      <formula>-4100</formula>
    </cfRule>
  </conditionalFormatting>
  <conditionalFormatting sqref="F204">
    <cfRule type="cellIs" dxfId="684" priority="2844" operator="greaterThanOrEqual">
      <formula>0</formula>
    </cfRule>
  </conditionalFormatting>
  <conditionalFormatting sqref="F204">
    <cfRule type="cellIs" dxfId="683" priority="2845" operator="lessThan">
      <formula>-4100</formula>
    </cfRule>
  </conditionalFormatting>
  <conditionalFormatting sqref="F204">
    <cfRule type="cellIs" dxfId="682" priority="2846" operator="lessThan">
      <formula>-4100</formula>
    </cfRule>
  </conditionalFormatting>
  <conditionalFormatting sqref="F204">
    <cfRule type="cellIs" dxfId="681" priority="2847" operator="greaterThanOrEqual">
      <formula>0</formula>
    </cfRule>
  </conditionalFormatting>
  <conditionalFormatting sqref="F204">
    <cfRule type="cellIs" dxfId="680" priority="2848" operator="greaterThanOrEqual">
      <formula>0</formula>
    </cfRule>
  </conditionalFormatting>
  <conditionalFormatting sqref="F204">
    <cfRule type="cellIs" dxfId="679" priority="2849" operator="lessThan">
      <formula>-4100</formula>
    </cfRule>
  </conditionalFormatting>
  <conditionalFormatting sqref="F204">
    <cfRule type="cellIs" dxfId="678" priority="2850" operator="greaterThanOrEqual">
      <formula>0</formula>
    </cfRule>
  </conditionalFormatting>
  <conditionalFormatting sqref="F204">
    <cfRule type="cellIs" dxfId="677" priority="2851" operator="lessThan">
      <formula>-4100</formula>
    </cfRule>
  </conditionalFormatting>
  <conditionalFormatting sqref="E204">
    <cfRule type="cellIs" dxfId="676" priority="2852" operator="greaterThan">
      <formula>0</formula>
    </cfRule>
  </conditionalFormatting>
  <conditionalFormatting sqref="F340">
    <cfRule type="cellIs" dxfId="675" priority="2604" operator="lessThan">
      <formula>-4100</formula>
    </cfRule>
  </conditionalFormatting>
  <conditionalFormatting sqref="F340">
    <cfRule type="cellIs" dxfId="674" priority="2605" operator="greaterThanOrEqual">
      <formula>0</formula>
    </cfRule>
  </conditionalFormatting>
  <conditionalFormatting sqref="F340">
    <cfRule type="cellIs" dxfId="673" priority="2606" operator="greaterThanOrEqual">
      <formula>0</formula>
    </cfRule>
  </conditionalFormatting>
  <conditionalFormatting sqref="F340">
    <cfRule type="cellIs" dxfId="672" priority="2607" operator="lessThan">
      <formula>-4100</formula>
    </cfRule>
  </conditionalFormatting>
  <conditionalFormatting sqref="F340">
    <cfRule type="cellIs" dxfId="671" priority="2608" operator="greaterThanOrEqual">
      <formula>0</formula>
    </cfRule>
  </conditionalFormatting>
  <conditionalFormatting sqref="F340">
    <cfRule type="cellIs" dxfId="670" priority="2609" operator="lessThan">
      <formula>-4100</formula>
    </cfRule>
  </conditionalFormatting>
  <conditionalFormatting sqref="F340">
    <cfRule type="cellIs" dxfId="669" priority="2610" operator="greaterThanOrEqual">
      <formula>0</formula>
    </cfRule>
  </conditionalFormatting>
  <conditionalFormatting sqref="F340">
    <cfRule type="cellIs" dxfId="668" priority="2611" operator="lessThan">
      <formula>-4100</formula>
    </cfRule>
  </conditionalFormatting>
  <conditionalFormatting sqref="E340">
    <cfRule type="cellIs" dxfId="667" priority="2612" operator="greaterThan">
      <formula>0</formula>
    </cfRule>
  </conditionalFormatting>
  <conditionalFormatting sqref="F345">
    <cfRule type="cellIs" dxfId="666" priority="2423" operator="lessThan">
      <formula>-4100</formula>
    </cfRule>
  </conditionalFormatting>
  <conditionalFormatting sqref="F345">
    <cfRule type="cellIs" dxfId="665" priority="2424" operator="greaterThanOrEqual">
      <formula>0</formula>
    </cfRule>
  </conditionalFormatting>
  <conditionalFormatting sqref="F345">
    <cfRule type="cellIs" dxfId="664" priority="2425" operator="greaterThanOrEqual">
      <formula>0</formula>
    </cfRule>
  </conditionalFormatting>
  <conditionalFormatting sqref="F345">
    <cfRule type="cellIs" dxfId="663" priority="2426" operator="lessThan">
      <formula>-4100</formula>
    </cfRule>
  </conditionalFormatting>
  <conditionalFormatting sqref="F345">
    <cfRule type="cellIs" dxfId="662" priority="2427" operator="greaterThanOrEqual">
      <formula>0</formula>
    </cfRule>
  </conditionalFormatting>
  <conditionalFormatting sqref="F345">
    <cfRule type="cellIs" dxfId="661" priority="2428" operator="lessThan">
      <formula>-4100</formula>
    </cfRule>
  </conditionalFormatting>
  <conditionalFormatting sqref="F345">
    <cfRule type="cellIs" dxfId="660" priority="2429" operator="greaterThanOrEqual">
      <formula>0</formula>
    </cfRule>
  </conditionalFormatting>
  <conditionalFormatting sqref="F345">
    <cfRule type="cellIs" dxfId="659" priority="2430" operator="lessThan">
      <formula>-4100</formula>
    </cfRule>
  </conditionalFormatting>
  <conditionalFormatting sqref="E345">
    <cfRule type="cellIs" dxfId="658" priority="2431" operator="greaterThan">
      <formula>0</formula>
    </cfRule>
  </conditionalFormatting>
  <conditionalFormatting sqref="F134">
    <cfRule type="cellIs" dxfId="657" priority="2389" operator="lessThan">
      <formula>-4100</formula>
    </cfRule>
  </conditionalFormatting>
  <conditionalFormatting sqref="F134">
    <cfRule type="cellIs" dxfId="656" priority="2390" operator="greaterThanOrEqual">
      <formula>0</formula>
    </cfRule>
  </conditionalFormatting>
  <conditionalFormatting sqref="F134">
    <cfRule type="cellIs" dxfId="655" priority="2391" operator="greaterThanOrEqual">
      <formula>0</formula>
    </cfRule>
  </conditionalFormatting>
  <conditionalFormatting sqref="F134">
    <cfRule type="cellIs" dxfId="654" priority="2392" operator="lessThan">
      <formula>-4100</formula>
    </cfRule>
  </conditionalFormatting>
  <conditionalFormatting sqref="F134">
    <cfRule type="cellIs" dxfId="653" priority="2393" operator="greaterThanOrEqual">
      <formula>0</formula>
    </cfRule>
  </conditionalFormatting>
  <conditionalFormatting sqref="F134">
    <cfRule type="cellIs" dxfId="652" priority="2394" operator="lessThan">
      <formula>-4100</formula>
    </cfRule>
  </conditionalFormatting>
  <conditionalFormatting sqref="F134">
    <cfRule type="cellIs" dxfId="651" priority="2395" operator="greaterThanOrEqual">
      <formula>0</formula>
    </cfRule>
  </conditionalFormatting>
  <conditionalFormatting sqref="F134">
    <cfRule type="cellIs" dxfId="650" priority="2396" operator="lessThan">
      <formula>-4100</formula>
    </cfRule>
  </conditionalFormatting>
  <conditionalFormatting sqref="F134">
    <cfRule type="cellIs" dxfId="649" priority="2397" operator="greaterThanOrEqual">
      <formula>0</formula>
    </cfRule>
  </conditionalFormatting>
  <conditionalFormatting sqref="F134">
    <cfRule type="cellIs" dxfId="648" priority="2398" operator="lessThan">
      <formula>-4100</formula>
    </cfRule>
  </conditionalFormatting>
  <conditionalFormatting sqref="F134">
    <cfRule type="cellIs" dxfId="647" priority="2399" operator="lessThan">
      <formula>-4100</formula>
    </cfRule>
  </conditionalFormatting>
  <conditionalFormatting sqref="F134">
    <cfRule type="cellIs" dxfId="646" priority="2400" operator="greaterThanOrEqual">
      <formula>0</formula>
    </cfRule>
  </conditionalFormatting>
  <conditionalFormatting sqref="F134">
    <cfRule type="cellIs" dxfId="645" priority="2401" operator="greaterThanOrEqual">
      <formula>0</formula>
    </cfRule>
  </conditionalFormatting>
  <conditionalFormatting sqref="F134">
    <cfRule type="cellIs" dxfId="644" priority="2402" operator="lessThan">
      <formula>-4100</formula>
    </cfRule>
  </conditionalFormatting>
  <conditionalFormatting sqref="F134">
    <cfRule type="cellIs" dxfId="643" priority="2403" operator="greaterThanOrEqual">
      <formula>0</formula>
    </cfRule>
  </conditionalFormatting>
  <conditionalFormatting sqref="F134">
    <cfRule type="cellIs" dxfId="642" priority="2404" operator="lessThan">
      <formula>-4100</formula>
    </cfRule>
  </conditionalFormatting>
  <conditionalFormatting sqref="E134">
    <cfRule type="cellIs" dxfId="641" priority="2405" operator="greaterThan">
      <formula>0</formula>
    </cfRule>
  </conditionalFormatting>
  <conditionalFormatting sqref="F350">
    <cfRule type="cellIs" dxfId="640" priority="2380" operator="lessThan">
      <formula>-4100</formula>
    </cfRule>
  </conditionalFormatting>
  <conditionalFormatting sqref="F350">
    <cfRule type="cellIs" dxfId="639" priority="2381" operator="greaterThanOrEqual">
      <formula>0</formula>
    </cfRule>
  </conditionalFormatting>
  <conditionalFormatting sqref="F350">
    <cfRule type="cellIs" dxfId="638" priority="2382" operator="greaterThanOrEqual">
      <formula>0</formula>
    </cfRule>
  </conditionalFormatting>
  <conditionalFormatting sqref="F350">
    <cfRule type="cellIs" dxfId="637" priority="2383" operator="lessThan">
      <formula>-4100</formula>
    </cfRule>
  </conditionalFormatting>
  <conditionalFormatting sqref="F350">
    <cfRule type="cellIs" dxfId="636" priority="2384" operator="greaterThanOrEqual">
      <formula>0</formula>
    </cfRule>
  </conditionalFormatting>
  <conditionalFormatting sqref="F350">
    <cfRule type="cellIs" dxfId="635" priority="2385" operator="lessThan">
      <formula>-4100</formula>
    </cfRule>
  </conditionalFormatting>
  <conditionalFormatting sqref="F350">
    <cfRule type="cellIs" dxfId="634" priority="2386" operator="greaterThanOrEqual">
      <formula>0</formula>
    </cfRule>
  </conditionalFormatting>
  <conditionalFormatting sqref="F350">
    <cfRule type="cellIs" dxfId="633" priority="2387" operator="lessThan">
      <formula>-4100</formula>
    </cfRule>
  </conditionalFormatting>
  <conditionalFormatting sqref="E350">
    <cfRule type="cellIs" dxfId="632" priority="2388" operator="greaterThan">
      <formula>0</formula>
    </cfRule>
  </conditionalFormatting>
  <conditionalFormatting sqref="F64">
    <cfRule type="cellIs" dxfId="631" priority="2329" operator="lessThan">
      <formula>-4100</formula>
    </cfRule>
  </conditionalFormatting>
  <conditionalFormatting sqref="F64">
    <cfRule type="cellIs" dxfId="630" priority="2330" operator="greaterThanOrEqual">
      <formula>0</formula>
    </cfRule>
  </conditionalFormatting>
  <conditionalFormatting sqref="F64">
    <cfRule type="cellIs" dxfId="629" priority="2331" operator="greaterThanOrEqual">
      <formula>0</formula>
    </cfRule>
  </conditionalFormatting>
  <conditionalFormatting sqref="F64">
    <cfRule type="cellIs" dxfId="628" priority="2332" operator="lessThan">
      <formula>-4100</formula>
    </cfRule>
  </conditionalFormatting>
  <conditionalFormatting sqref="F64">
    <cfRule type="cellIs" dxfId="627" priority="2333" operator="greaterThanOrEqual">
      <formula>0</formula>
    </cfRule>
  </conditionalFormatting>
  <conditionalFormatting sqref="F64">
    <cfRule type="cellIs" dxfId="626" priority="2334" operator="lessThan">
      <formula>-4100</formula>
    </cfRule>
  </conditionalFormatting>
  <conditionalFormatting sqref="F64">
    <cfRule type="cellIs" dxfId="625" priority="2335" operator="greaterThanOrEqual">
      <formula>0</formula>
    </cfRule>
  </conditionalFormatting>
  <conditionalFormatting sqref="F64">
    <cfRule type="cellIs" dxfId="624" priority="2336" operator="lessThan">
      <formula>-4100</formula>
    </cfRule>
  </conditionalFormatting>
  <conditionalFormatting sqref="F64">
    <cfRule type="cellIs" dxfId="623" priority="2337" operator="greaterThanOrEqual">
      <formula>0</formula>
    </cfRule>
  </conditionalFormatting>
  <conditionalFormatting sqref="F64">
    <cfRule type="cellIs" dxfId="622" priority="2338" operator="lessThan">
      <formula>-4100</formula>
    </cfRule>
  </conditionalFormatting>
  <conditionalFormatting sqref="F64">
    <cfRule type="cellIs" dxfId="621" priority="2339" operator="lessThan">
      <formula>-4100</formula>
    </cfRule>
  </conditionalFormatting>
  <conditionalFormatting sqref="F64">
    <cfRule type="cellIs" dxfId="620" priority="2340" operator="greaterThanOrEqual">
      <formula>0</formula>
    </cfRule>
  </conditionalFormatting>
  <conditionalFormatting sqref="F64">
    <cfRule type="cellIs" dxfId="619" priority="2341" operator="greaterThanOrEqual">
      <formula>0</formula>
    </cfRule>
  </conditionalFormatting>
  <conditionalFormatting sqref="F64">
    <cfRule type="cellIs" dxfId="618" priority="2342" operator="lessThan">
      <formula>-4100</formula>
    </cfRule>
  </conditionalFormatting>
  <conditionalFormatting sqref="F64">
    <cfRule type="cellIs" dxfId="617" priority="2343" operator="greaterThanOrEqual">
      <formula>0</formula>
    </cfRule>
  </conditionalFormatting>
  <conditionalFormatting sqref="F64">
    <cfRule type="cellIs" dxfId="616" priority="2344" operator="lessThan">
      <formula>-4100</formula>
    </cfRule>
  </conditionalFormatting>
  <conditionalFormatting sqref="E64">
    <cfRule type="cellIs" dxfId="615" priority="2345" operator="greaterThan">
      <formula>0</formula>
    </cfRule>
  </conditionalFormatting>
  <conditionalFormatting sqref="F174">
    <cfRule type="cellIs" dxfId="614" priority="2226" operator="greaterThanOrEqual">
      <formula>0</formula>
    </cfRule>
  </conditionalFormatting>
  <conditionalFormatting sqref="F174">
    <cfRule type="cellIs" dxfId="613" priority="2227" operator="lessThan">
      <formula>-4100</formula>
    </cfRule>
  </conditionalFormatting>
  <conditionalFormatting sqref="F174">
    <cfRule type="cellIs" dxfId="612" priority="2228" operator="greaterThanOrEqual">
      <formula>0</formula>
    </cfRule>
  </conditionalFormatting>
  <conditionalFormatting sqref="F174">
    <cfRule type="cellIs" dxfId="611" priority="2229" operator="lessThan">
      <formula>-4100</formula>
    </cfRule>
  </conditionalFormatting>
  <conditionalFormatting sqref="E174">
    <cfRule type="cellIs" dxfId="610" priority="2230" operator="greaterThan">
      <formula>0</formula>
    </cfRule>
  </conditionalFormatting>
  <conditionalFormatting sqref="F174">
    <cfRule type="cellIs" dxfId="609" priority="2231" operator="greaterThanOrEqual">
      <formula>0</formula>
    </cfRule>
  </conditionalFormatting>
  <conditionalFormatting sqref="F174">
    <cfRule type="cellIs" dxfId="608" priority="2232" operator="lessThan">
      <formula>-4100</formula>
    </cfRule>
  </conditionalFormatting>
  <conditionalFormatting sqref="F174">
    <cfRule type="cellIs" dxfId="607" priority="2233" operator="greaterThanOrEqual">
      <formula>0</formula>
    </cfRule>
  </conditionalFormatting>
  <conditionalFormatting sqref="F174">
    <cfRule type="cellIs" dxfId="606" priority="2234" operator="lessThan">
      <formula>-4100</formula>
    </cfRule>
  </conditionalFormatting>
  <conditionalFormatting sqref="F174">
    <cfRule type="cellIs" dxfId="605" priority="2235" operator="greaterThanOrEqual">
      <formula>0</formula>
    </cfRule>
  </conditionalFormatting>
  <conditionalFormatting sqref="F174">
    <cfRule type="cellIs" dxfId="604" priority="2236" operator="lessThan">
      <formula>-4100</formula>
    </cfRule>
  </conditionalFormatting>
  <conditionalFormatting sqref="F174">
    <cfRule type="cellIs" dxfId="603" priority="2237" operator="greaterThanOrEqual">
      <formula>0</formula>
    </cfRule>
  </conditionalFormatting>
  <conditionalFormatting sqref="F174">
    <cfRule type="cellIs" dxfId="602" priority="2238" operator="lessThan">
      <formula>-4100</formula>
    </cfRule>
  </conditionalFormatting>
  <conditionalFormatting sqref="F174">
    <cfRule type="cellIs" dxfId="601" priority="2239" operator="greaterThanOrEqual">
      <formula>0</formula>
    </cfRule>
  </conditionalFormatting>
  <conditionalFormatting sqref="F174">
    <cfRule type="cellIs" dxfId="600" priority="2240" operator="lessThan">
      <formula>-4100</formula>
    </cfRule>
  </conditionalFormatting>
  <conditionalFormatting sqref="F174">
    <cfRule type="cellIs" dxfId="599" priority="2241" operator="greaterThanOrEqual">
      <formula>0</formula>
    </cfRule>
  </conditionalFormatting>
  <conditionalFormatting sqref="F174">
    <cfRule type="cellIs" dxfId="598" priority="2242" operator="lessThan">
      <formula>-4100</formula>
    </cfRule>
  </conditionalFormatting>
  <conditionalFormatting sqref="F355">
    <cfRule type="cellIs" dxfId="597" priority="2183" operator="lessThan">
      <formula>-4100</formula>
    </cfRule>
  </conditionalFormatting>
  <conditionalFormatting sqref="F355">
    <cfRule type="cellIs" dxfId="596" priority="2184" operator="greaterThanOrEqual">
      <formula>0</formula>
    </cfRule>
  </conditionalFormatting>
  <conditionalFormatting sqref="F355">
    <cfRule type="cellIs" dxfId="595" priority="2185" operator="greaterThanOrEqual">
      <formula>0</formula>
    </cfRule>
  </conditionalFormatting>
  <conditionalFormatting sqref="F355">
    <cfRule type="cellIs" dxfId="594" priority="2186" operator="lessThan">
      <formula>-4100</formula>
    </cfRule>
  </conditionalFormatting>
  <conditionalFormatting sqref="F355">
    <cfRule type="cellIs" dxfId="593" priority="2187" operator="greaterThanOrEqual">
      <formula>0</formula>
    </cfRule>
  </conditionalFormatting>
  <conditionalFormatting sqref="F355">
    <cfRule type="cellIs" dxfId="592" priority="2188" operator="lessThan">
      <formula>-4100</formula>
    </cfRule>
  </conditionalFormatting>
  <conditionalFormatting sqref="F355">
    <cfRule type="cellIs" dxfId="591" priority="2189" operator="greaterThanOrEqual">
      <formula>0</formula>
    </cfRule>
  </conditionalFormatting>
  <conditionalFormatting sqref="F355">
    <cfRule type="cellIs" dxfId="590" priority="2190" operator="lessThan">
      <formula>-4100</formula>
    </cfRule>
  </conditionalFormatting>
  <conditionalFormatting sqref="E355">
    <cfRule type="cellIs" dxfId="589" priority="2191" operator="greaterThan">
      <formula>0</formula>
    </cfRule>
  </conditionalFormatting>
  <conditionalFormatting sqref="F360">
    <cfRule type="cellIs" dxfId="588" priority="2174" operator="lessThan">
      <formula>-4100</formula>
    </cfRule>
  </conditionalFormatting>
  <conditionalFormatting sqref="F360">
    <cfRule type="cellIs" dxfId="587" priority="2175" operator="greaterThanOrEqual">
      <formula>0</formula>
    </cfRule>
  </conditionalFormatting>
  <conditionalFormatting sqref="F360">
    <cfRule type="cellIs" dxfId="586" priority="2176" operator="greaterThanOrEqual">
      <formula>0</formula>
    </cfRule>
  </conditionalFormatting>
  <conditionalFormatting sqref="F360">
    <cfRule type="cellIs" dxfId="585" priority="2177" operator="lessThan">
      <formula>-4100</formula>
    </cfRule>
  </conditionalFormatting>
  <conditionalFormatting sqref="F360">
    <cfRule type="cellIs" dxfId="584" priority="2178" operator="greaterThanOrEqual">
      <formula>0</formula>
    </cfRule>
  </conditionalFormatting>
  <conditionalFormatting sqref="F360">
    <cfRule type="cellIs" dxfId="583" priority="2179" operator="lessThan">
      <formula>-4100</formula>
    </cfRule>
  </conditionalFormatting>
  <conditionalFormatting sqref="F360">
    <cfRule type="cellIs" dxfId="582" priority="2180" operator="greaterThanOrEqual">
      <formula>0</formula>
    </cfRule>
  </conditionalFormatting>
  <conditionalFormatting sqref="F360">
    <cfRule type="cellIs" dxfId="581" priority="2181" operator="lessThan">
      <formula>-4100</formula>
    </cfRule>
  </conditionalFormatting>
  <conditionalFormatting sqref="E360">
    <cfRule type="cellIs" dxfId="580" priority="2182" operator="greaterThan">
      <formula>0</formula>
    </cfRule>
  </conditionalFormatting>
  <conditionalFormatting sqref="F129">
    <cfRule type="cellIs" dxfId="579" priority="1935" operator="lessThan">
      <formula>-4100</formula>
    </cfRule>
  </conditionalFormatting>
  <conditionalFormatting sqref="F129">
    <cfRule type="cellIs" dxfId="578" priority="1936" operator="greaterThanOrEqual">
      <formula>0</formula>
    </cfRule>
  </conditionalFormatting>
  <conditionalFormatting sqref="F129">
    <cfRule type="cellIs" dxfId="577" priority="1937" operator="greaterThanOrEqual">
      <formula>0</formula>
    </cfRule>
  </conditionalFormatting>
  <conditionalFormatting sqref="F129">
    <cfRule type="cellIs" dxfId="576" priority="1938" operator="lessThan">
      <formula>-4100</formula>
    </cfRule>
  </conditionalFormatting>
  <conditionalFormatting sqref="F129">
    <cfRule type="cellIs" dxfId="575" priority="1939" operator="greaterThanOrEqual">
      <formula>0</formula>
    </cfRule>
  </conditionalFormatting>
  <conditionalFormatting sqref="F129">
    <cfRule type="cellIs" dxfId="574" priority="1940" operator="lessThan">
      <formula>-4100</formula>
    </cfRule>
  </conditionalFormatting>
  <conditionalFormatting sqref="F129">
    <cfRule type="cellIs" dxfId="573" priority="1941" operator="greaterThanOrEqual">
      <formula>0</formula>
    </cfRule>
  </conditionalFormatting>
  <conditionalFormatting sqref="F129">
    <cfRule type="cellIs" dxfId="572" priority="1942" operator="lessThan">
      <formula>-4100</formula>
    </cfRule>
  </conditionalFormatting>
  <conditionalFormatting sqref="F129">
    <cfRule type="cellIs" dxfId="571" priority="1943" operator="greaterThanOrEqual">
      <formula>0</formula>
    </cfRule>
  </conditionalFormatting>
  <conditionalFormatting sqref="F129">
    <cfRule type="cellIs" dxfId="570" priority="1944" operator="lessThan">
      <formula>-4100</formula>
    </cfRule>
  </conditionalFormatting>
  <conditionalFormatting sqref="F129">
    <cfRule type="cellIs" dxfId="569" priority="1945" operator="lessThan">
      <formula>-4100</formula>
    </cfRule>
  </conditionalFormatting>
  <conditionalFormatting sqref="F129">
    <cfRule type="cellIs" dxfId="568" priority="1946" operator="greaterThanOrEqual">
      <formula>0</formula>
    </cfRule>
  </conditionalFormatting>
  <conditionalFormatting sqref="F129">
    <cfRule type="cellIs" dxfId="567" priority="1947" operator="greaterThanOrEqual">
      <formula>0</formula>
    </cfRule>
  </conditionalFormatting>
  <conditionalFormatting sqref="F129">
    <cfRule type="cellIs" dxfId="566" priority="1948" operator="lessThan">
      <formula>-4100</formula>
    </cfRule>
  </conditionalFormatting>
  <conditionalFormatting sqref="F129">
    <cfRule type="cellIs" dxfId="565" priority="1949" operator="greaterThanOrEqual">
      <formula>0</formula>
    </cfRule>
  </conditionalFormatting>
  <conditionalFormatting sqref="F129">
    <cfRule type="cellIs" dxfId="564" priority="1950" operator="lessThan">
      <formula>-4100</formula>
    </cfRule>
  </conditionalFormatting>
  <conditionalFormatting sqref="E129">
    <cfRule type="cellIs" dxfId="563" priority="1951" operator="greaterThan">
      <formula>0</formula>
    </cfRule>
  </conditionalFormatting>
  <conditionalFormatting sqref="F124">
    <cfRule type="cellIs" dxfId="562" priority="1918" operator="lessThan">
      <formula>-4100</formula>
    </cfRule>
  </conditionalFormatting>
  <conditionalFormatting sqref="F124">
    <cfRule type="cellIs" dxfId="561" priority="1919" operator="greaterThanOrEqual">
      <formula>0</formula>
    </cfRule>
  </conditionalFormatting>
  <conditionalFormatting sqref="F124">
    <cfRule type="cellIs" dxfId="560" priority="1920" operator="greaterThanOrEqual">
      <formula>0</formula>
    </cfRule>
  </conditionalFormatting>
  <conditionalFormatting sqref="F124">
    <cfRule type="cellIs" dxfId="559" priority="1921" operator="lessThan">
      <formula>-4100</formula>
    </cfRule>
  </conditionalFormatting>
  <conditionalFormatting sqref="F124">
    <cfRule type="cellIs" dxfId="558" priority="1922" operator="greaterThanOrEqual">
      <formula>0</formula>
    </cfRule>
  </conditionalFormatting>
  <conditionalFormatting sqref="F124">
    <cfRule type="cellIs" dxfId="557" priority="1923" operator="lessThan">
      <formula>-4100</formula>
    </cfRule>
  </conditionalFormatting>
  <conditionalFormatting sqref="F124">
    <cfRule type="cellIs" dxfId="556" priority="1924" operator="greaterThanOrEqual">
      <formula>0</formula>
    </cfRule>
  </conditionalFormatting>
  <conditionalFormatting sqref="F124">
    <cfRule type="cellIs" dxfId="555" priority="1925" operator="lessThan">
      <formula>-4100</formula>
    </cfRule>
  </conditionalFormatting>
  <conditionalFormatting sqref="F124">
    <cfRule type="cellIs" dxfId="554" priority="1926" operator="greaterThanOrEqual">
      <formula>0</formula>
    </cfRule>
  </conditionalFormatting>
  <conditionalFormatting sqref="F124">
    <cfRule type="cellIs" dxfId="553" priority="1927" operator="lessThan">
      <formula>-4100</formula>
    </cfRule>
  </conditionalFormatting>
  <conditionalFormatting sqref="F124">
    <cfRule type="cellIs" dxfId="552" priority="1928" operator="lessThan">
      <formula>-4100</formula>
    </cfRule>
  </conditionalFormatting>
  <conditionalFormatting sqref="F124">
    <cfRule type="cellIs" dxfId="551" priority="1929" operator="greaterThanOrEqual">
      <formula>0</formula>
    </cfRule>
  </conditionalFormatting>
  <conditionalFormatting sqref="F124">
    <cfRule type="cellIs" dxfId="550" priority="1930" operator="greaterThanOrEqual">
      <formula>0</formula>
    </cfRule>
  </conditionalFormatting>
  <conditionalFormatting sqref="F124">
    <cfRule type="cellIs" dxfId="549" priority="1931" operator="lessThan">
      <formula>-4100</formula>
    </cfRule>
  </conditionalFormatting>
  <conditionalFormatting sqref="F124">
    <cfRule type="cellIs" dxfId="548" priority="1932" operator="greaterThanOrEqual">
      <formula>0</formula>
    </cfRule>
  </conditionalFormatting>
  <conditionalFormatting sqref="F124">
    <cfRule type="cellIs" dxfId="547" priority="1933" operator="lessThan">
      <formula>-4100</formula>
    </cfRule>
  </conditionalFormatting>
  <conditionalFormatting sqref="E124">
    <cfRule type="cellIs" dxfId="546" priority="1934" operator="greaterThan">
      <formula>0</formula>
    </cfRule>
  </conditionalFormatting>
  <conditionalFormatting sqref="F385">
    <cfRule type="cellIs" dxfId="545" priority="1784" operator="lessThan">
      <formula>-4100</formula>
    </cfRule>
  </conditionalFormatting>
  <conditionalFormatting sqref="F385">
    <cfRule type="cellIs" dxfId="544" priority="1785" operator="greaterThanOrEqual">
      <formula>0</formula>
    </cfRule>
  </conditionalFormatting>
  <conditionalFormatting sqref="F385">
    <cfRule type="cellIs" dxfId="543" priority="1786" operator="greaterThanOrEqual">
      <formula>0</formula>
    </cfRule>
  </conditionalFormatting>
  <conditionalFormatting sqref="F385">
    <cfRule type="cellIs" dxfId="542" priority="1787" operator="lessThan">
      <formula>-4100</formula>
    </cfRule>
  </conditionalFormatting>
  <conditionalFormatting sqref="F385">
    <cfRule type="cellIs" dxfId="541" priority="1788" operator="greaterThanOrEqual">
      <formula>0</formula>
    </cfRule>
  </conditionalFormatting>
  <conditionalFormatting sqref="F385">
    <cfRule type="cellIs" dxfId="540" priority="1789" operator="lessThan">
      <formula>-4100</formula>
    </cfRule>
  </conditionalFormatting>
  <conditionalFormatting sqref="F385">
    <cfRule type="cellIs" dxfId="539" priority="1790" operator="greaterThanOrEqual">
      <formula>0</formula>
    </cfRule>
  </conditionalFormatting>
  <conditionalFormatting sqref="F385">
    <cfRule type="cellIs" dxfId="538" priority="1791" operator="lessThan">
      <formula>-4100</formula>
    </cfRule>
  </conditionalFormatting>
  <conditionalFormatting sqref="E385">
    <cfRule type="cellIs" dxfId="537" priority="1792" operator="greaterThan">
      <formula>0</formula>
    </cfRule>
  </conditionalFormatting>
  <conditionalFormatting sqref="F450">
    <cfRule type="cellIs" dxfId="536" priority="1698" operator="greaterThanOrEqual">
      <formula>0</formula>
    </cfRule>
  </conditionalFormatting>
  <conditionalFormatting sqref="F450">
    <cfRule type="cellIs" dxfId="535" priority="1699" operator="lessThan">
      <formula>-4100</formula>
    </cfRule>
  </conditionalFormatting>
  <conditionalFormatting sqref="F450">
    <cfRule type="cellIs" dxfId="534" priority="1700" operator="greaterThanOrEqual">
      <formula>0</formula>
    </cfRule>
  </conditionalFormatting>
  <conditionalFormatting sqref="F450">
    <cfRule type="cellIs" dxfId="533" priority="1701" operator="lessThan">
      <formula>-4100</formula>
    </cfRule>
  </conditionalFormatting>
  <conditionalFormatting sqref="F450">
    <cfRule type="cellIs" dxfId="532" priority="1702" operator="greaterThanOrEqual">
      <formula>0</formula>
    </cfRule>
  </conditionalFormatting>
  <conditionalFormatting sqref="F450">
    <cfRule type="cellIs" dxfId="531" priority="1703" operator="lessThan">
      <formula>-4100</formula>
    </cfRule>
  </conditionalFormatting>
  <conditionalFormatting sqref="F450">
    <cfRule type="cellIs" dxfId="530" priority="1704" operator="greaterThanOrEqual">
      <formula>0</formula>
    </cfRule>
  </conditionalFormatting>
  <conditionalFormatting sqref="F450">
    <cfRule type="cellIs" dxfId="529" priority="1705" operator="lessThan">
      <formula>-4100</formula>
    </cfRule>
  </conditionalFormatting>
  <conditionalFormatting sqref="F450">
    <cfRule type="cellIs" dxfId="528" priority="1706" operator="greaterThanOrEqual">
      <formula>0</formula>
    </cfRule>
  </conditionalFormatting>
  <conditionalFormatting sqref="F450">
    <cfRule type="cellIs" dxfId="527" priority="1707" operator="lessThan">
      <formula>-4100</formula>
    </cfRule>
  </conditionalFormatting>
  <conditionalFormatting sqref="F450">
    <cfRule type="cellIs" dxfId="526" priority="1708" operator="greaterThanOrEqual">
      <formula>0</formula>
    </cfRule>
  </conditionalFormatting>
  <conditionalFormatting sqref="F450">
    <cfRule type="cellIs" dxfId="525" priority="1709" operator="lessThan">
      <formula>-4100</formula>
    </cfRule>
  </conditionalFormatting>
  <conditionalFormatting sqref="F450">
    <cfRule type="cellIs" dxfId="524" priority="1710" operator="greaterThanOrEqual">
      <formula>0</formula>
    </cfRule>
  </conditionalFormatting>
  <conditionalFormatting sqref="F450">
    <cfRule type="cellIs" dxfId="523" priority="1711" operator="lessThan">
      <formula>-4100</formula>
    </cfRule>
  </conditionalFormatting>
  <conditionalFormatting sqref="F450">
    <cfRule type="cellIs" dxfId="522" priority="1712" operator="greaterThanOrEqual">
      <formula>0</formula>
    </cfRule>
  </conditionalFormatting>
  <conditionalFormatting sqref="F450">
    <cfRule type="cellIs" dxfId="521" priority="1713" operator="lessThan">
      <formula>-4100</formula>
    </cfRule>
  </conditionalFormatting>
  <conditionalFormatting sqref="E450">
    <cfRule type="cellIs" dxfId="520" priority="1714" operator="greaterThan">
      <formula>0</formula>
    </cfRule>
  </conditionalFormatting>
  <conditionalFormatting sqref="F119">
    <cfRule type="cellIs" dxfId="519" priority="1647" operator="lessThan">
      <formula>-4100</formula>
    </cfRule>
  </conditionalFormatting>
  <conditionalFormatting sqref="F119">
    <cfRule type="cellIs" dxfId="518" priority="1648" operator="greaterThanOrEqual">
      <formula>0</formula>
    </cfRule>
  </conditionalFormatting>
  <conditionalFormatting sqref="F119">
    <cfRule type="cellIs" dxfId="517" priority="1649" operator="greaterThanOrEqual">
      <formula>0</formula>
    </cfRule>
  </conditionalFormatting>
  <conditionalFormatting sqref="F119">
    <cfRule type="cellIs" dxfId="516" priority="1650" operator="lessThan">
      <formula>-4100</formula>
    </cfRule>
  </conditionalFormatting>
  <conditionalFormatting sqref="F119">
    <cfRule type="cellIs" dxfId="515" priority="1651" operator="greaterThanOrEqual">
      <formula>0</formula>
    </cfRule>
  </conditionalFormatting>
  <conditionalFormatting sqref="F119">
    <cfRule type="cellIs" dxfId="514" priority="1652" operator="lessThan">
      <formula>-4100</formula>
    </cfRule>
  </conditionalFormatting>
  <conditionalFormatting sqref="F119">
    <cfRule type="cellIs" dxfId="513" priority="1653" operator="greaterThanOrEqual">
      <formula>0</formula>
    </cfRule>
  </conditionalFormatting>
  <conditionalFormatting sqref="F119">
    <cfRule type="cellIs" dxfId="512" priority="1654" operator="lessThan">
      <formula>-4100</formula>
    </cfRule>
  </conditionalFormatting>
  <conditionalFormatting sqref="F119">
    <cfRule type="cellIs" dxfId="511" priority="1655" operator="greaterThanOrEqual">
      <formula>0</formula>
    </cfRule>
  </conditionalFormatting>
  <conditionalFormatting sqref="F119">
    <cfRule type="cellIs" dxfId="510" priority="1656" operator="lessThan">
      <formula>-4100</formula>
    </cfRule>
  </conditionalFormatting>
  <conditionalFormatting sqref="F119">
    <cfRule type="cellIs" dxfId="509" priority="1657" operator="lessThan">
      <formula>-4100</formula>
    </cfRule>
  </conditionalFormatting>
  <conditionalFormatting sqref="F119">
    <cfRule type="cellIs" dxfId="508" priority="1658" operator="greaterThanOrEqual">
      <formula>0</formula>
    </cfRule>
  </conditionalFormatting>
  <conditionalFormatting sqref="F119">
    <cfRule type="cellIs" dxfId="507" priority="1659" operator="greaterThanOrEqual">
      <formula>0</formula>
    </cfRule>
  </conditionalFormatting>
  <conditionalFormatting sqref="F119">
    <cfRule type="cellIs" dxfId="506" priority="1660" operator="lessThan">
      <formula>-4100</formula>
    </cfRule>
  </conditionalFormatting>
  <conditionalFormatting sqref="F119">
    <cfRule type="cellIs" dxfId="505" priority="1661" operator="greaterThanOrEqual">
      <formula>0</formula>
    </cfRule>
  </conditionalFormatting>
  <conditionalFormatting sqref="F119">
    <cfRule type="cellIs" dxfId="504" priority="1662" operator="lessThan">
      <formula>-4100</formula>
    </cfRule>
  </conditionalFormatting>
  <conditionalFormatting sqref="E119">
    <cfRule type="cellIs" dxfId="503" priority="1663" operator="greaterThan">
      <formula>0</formula>
    </cfRule>
  </conditionalFormatting>
  <conditionalFormatting sqref="F244">
    <cfRule type="cellIs" dxfId="502" priority="1570" operator="lessThan">
      <formula>-4100</formula>
    </cfRule>
  </conditionalFormatting>
  <conditionalFormatting sqref="F244">
    <cfRule type="cellIs" dxfId="501" priority="1571" operator="greaterThanOrEqual">
      <formula>0</formula>
    </cfRule>
  </conditionalFormatting>
  <conditionalFormatting sqref="F244">
    <cfRule type="cellIs" dxfId="500" priority="1572" operator="greaterThanOrEqual">
      <formula>0</formula>
    </cfRule>
  </conditionalFormatting>
  <conditionalFormatting sqref="F244">
    <cfRule type="cellIs" dxfId="499" priority="1573" operator="lessThan">
      <formula>-4100</formula>
    </cfRule>
  </conditionalFormatting>
  <conditionalFormatting sqref="F244">
    <cfRule type="cellIs" dxfId="498" priority="1574" operator="greaterThanOrEqual">
      <formula>0</formula>
    </cfRule>
  </conditionalFormatting>
  <conditionalFormatting sqref="F244">
    <cfRule type="cellIs" dxfId="497" priority="1575" operator="lessThan">
      <formula>-4100</formula>
    </cfRule>
  </conditionalFormatting>
  <conditionalFormatting sqref="F244">
    <cfRule type="cellIs" dxfId="496" priority="1576" operator="greaterThanOrEqual">
      <formula>0</formula>
    </cfRule>
  </conditionalFormatting>
  <conditionalFormatting sqref="F244">
    <cfRule type="cellIs" dxfId="495" priority="1577" operator="lessThan">
      <formula>-4100</formula>
    </cfRule>
  </conditionalFormatting>
  <conditionalFormatting sqref="F244">
    <cfRule type="cellIs" dxfId="494" priority="1578" operator="greaterThanOrEqual">
      <formula>0</formula>
    </cfRule>
  </conditionalFormatting>
  <conditionalFormatting sqref="F244">
    <cfRule type="cellIs" dxfId="493" priority="1579" operator="lessThan">
      <formula>-4100</formula>
    </cfRule>
  </conditionalFormatting>
  <conditionalFormatting sqref="F244">
    <cfRule type="cellIs" dxfId="492" priority="1580" operator="lessThan">
      <formula>-4100</formula>
    </cfRule>
  </conditionalFormatting>
  <conditionalFormatting sqref="F244">
    <cfRule type="cellIs" dxfId="491" priority="1581" operator="greaterThanOrEqual">
      <formula>0</formula>
    </cfRule>
  </conditionalFormatting>
  <conditionalFormatting sqref="F244">
    <cfRule type="cellIs" dxfId="490" priority="1582" operator="greaterThanOrEqual">
      <formula>0</formula>
    </cfRule>
  </conditionalFormatting>
  <conditionalFormatting sqref="F244">
    <cfRule type="cellIs" dxfId="489" priority="1583" operator="lessThan">
      <formula>-4100</formula>
    </cfRule>
  </conditionalFormatting>
  <conditionalFormatting sqref="F244">
    <cfRule type="cellIs" dxfId="488" priority="1584" operator="greaterThanOrEqual">
      <formula>0</formula>
    </cfRule>
  </conditionalFormatting>
  <conditionalFormatting sqref="F244">
    <cfRule type="cellIs" dxfId="487" priority="1585" operator="lessThan">
      <formula>-4100</formula>
    </cfRule>
  </conditionalFormatting>
  <conditionalFormatting sqref="E244">
    <cfRule type="cellIs" dxfId="486" priority="1586" operator="greaterThan">
      <formula>0</formula>
    </cfRule>
  </conditionalFormatting>
  <conditionalFormatting sqref="F114">
    <cfRule type="cellIs" dxfId="485" priority="1536" operator="lessThan">
      <formula>-4100</formula>
    </cfRule>
  </conditionalFormatting>
  <conditionalFormatting sqref="F114">
    <cfRule type="cellIs" dxfId="484" priority="1537" operator="greaterThanOrEqual">
      <formula>0</formula>
    </cfRule>
  </conditionalFormatting>
  <conditionalFormatting sqref="F114">
    <cfRule type="cellIs" dxfId="483" priority="1538" operator="greaterThanOrEqual">
      <formula>0</formula>
    </cfRule>
  </conditionalFormatting>
  <conditionalFormatting sqref="F114">
    <cfRule type="cellIs" dxfId="482" priority="1539" operator="lessThan">
      <formula>-4100</formula>
    </cfRule>
  </conditionalFormatting>
  <conditionalFormatting sqref="F114">
    <cfRule type="cellIs" dxfId="481" priority="1540" operator="greaterThanOrEqual">
      <formula>0</formula>
    </cfRule>
  </conditionalFormatting>
  <conditionalFormatting sqref="F114">
    <cfRule type="cellIs" dxfId="480" priority="1541" operator="lessThan">
      <formula>-4100</formula>
    </cfRule>
  </conditionalFormatting>
  <conditionalFormatting sqref="F114">
    <cfRule type="cellIs" dxfId="479" priority="1542" operator="greaterThanOrEqual">
      <formula>0</formula>
    </cfRule>
  </conditionalFormatting>
  <conditionalFormatting sqref="F114">
    <cfRule type="cellIs" dxfId="478" priority="1543" operator="lessThan">
      <formula>-4100</formula>
    </cfRule>
  </conditionalFormatting>
  <conditionalFormatting sqref="F114">
    <cfRule type="cellIs" dxfId="477" priority="1544" operator="greaterThanOrEqual">
      <formula>0</formula>
    </cfRule>
  </conditionalFormatting>
  <conditionalFormatting sqref="F114">
    <cfRule type="cellIs" dxfId="476" priority="1545" operator="lessThan">
      <formula>-4100</formula>
    </cfRule>
  </conditionalFormatting>
  <conditionalFormatting sqref="F114">
    <cfRule type="cellIs" dxfId="475" priority="1546" operator="lessThan">
      <formula>-4100</formula>
    </cfRule>
  </conditionalFormatting>
  <conditionalFormatting sqref="F114">
    <cfRule type="cellIs" dxfId="474" priority="1547" operator="greaterThanOrEqual">
      <formula>0</formula>
    </cfRule>
  </conditionalFormatting>
  <conditionalFormatting sqref="F114">
    <cfRule type="cellIs" dxfId="473" priority="1548" operator="greaterThanOrEqual">
      <formula>0</formula>
    </cfRule>
  </conditionalFormatting>
  <conditionalFormatting sqref="F114">
    <cfRule type="cellIs" dxfId="472" priority="1549" operator="lessThan">
      <formula>-4100</formula>
    </cfRule>
  </conditionalFormatting>
  <conditionalFormatting sqref="F114">
    <cfRule type="cellIs" dxfId="471" priority="1550" operator="greaterThanOrEqual">
      <formula>0</formula>
    </cfRule>
  </conditionalFormatting>
  <conditionalFormatting sqref="F114">
    <cfRule type="cellIs" dxfId="470" priority="1551" operator="lessThan">
      <formula>-4100</formula>
    </cfRule>
  </conditionalFormatting>
  <conditionalFormatting sqref="E114">
    <cfRule type="cellIs" dxfId="469" priority="1552" operator="greaterThan">
      <formula>0</formula>
    </cfRule>
  </conditionalFormatting>
  <conditionalFormatting sqref="F29">
    <cfRule type="cellIs" dxfId="468" priority="1519" operator="lessThan">
      <formula>-4100</formula>
    </cfRule>
  </conditionalFormatting>
  <conditionalFormatting sqref="F29">
    <cfRule type="cellIs" dxfId="467" priority="1520" operator="greaterThanOrEqual">
      <formula>0</formula>
    </cfRule>
  </conditionalFormatting>
  <conditionalFormatting sqref="F29">
    <cfRule type="cellIs" dxfId="466" priority="1521" operator="greaterThanOrEqual">
      <formula>0</formula>
    </cfRule>
  </conditionalFormatting>
  <conditionalFormatting sqref="F29">
    <cfRule type="cellIs" dxfId="465" priority="1522" operator="lessThan">
      <formula>-4100</formula>
    </cfRule>
  </conditionalFormatting>
  <conditionalFormatting sqref="F29">
    <cfRule type="cellIs" dxfId="464" priority="1523" operator="greaterThanOrEqual">
      <formula>0</formula>
    </cfRule>
  </conditionalFormatting>
  <conditionalFormatting sqref="F29">
    <cfRule type="cellIs" dxfId="463" priority="1524" operator="lessThan">
      <formula>-4100</formula>
    </cfRule>
  </conditionalFormatting>
  <conditionalFormatting sqref="F29">
    <cfRule type="cellIs" dxfId="462" priority="1525" operator="greaterThanOrEqual">
      <formula>0</formula>
    </cfRule>
  </conditionalFormatting>
  <conditionalFormatting sqref="F29">
    <cfRule type="cellIs" dxfId="461" priority="1526" operator="lessThan">
      <formula>-4100</formula>
    </cfRule>
  </conditionalFormatting>
  <conditionalFormatting sqref="F29">
    <cfRule type="cellIs" dxfId="460" priority="1527" operator="greaterThanOrEqual">
      <formula>0</formula>
    </cfRule>
  </conditionalFormatting>
  <conditionalFormatting sqref="F29">
    <cfRule type="cellIs" dxfId="459" priority="1528" operator="lessThan">
      <formula>-4100</formula>
    </cfRule>
  </conditionalFormatting>
  <conditionalFormatting sqref="F29">
    <cfRule type="cellIs" dxfId="458" priority="1529" operator="lessThan">
      <formula>-4100</formula>
    </cfRule>
  </conditionalFormatting>
  <conditionalFormatting sqref="F29">
    <cfRule type="cellIs" dxfId="457" priority="1530" operator="greaterThanOrEqual">
      <formula>0</formula>
    </cfRule>
  </conditionalFormatting>
  <conditionalFormatting sqref="F29">
    <cfRule type="cellIs" dxfId="456" priority="1531" operator="greaterThanOrEqual">
      <formula>0</formula>
    </cfRule>
  </conditionalFormatting>
  <conditionalFormatting sqref="F29">
    <cfRule type="cellIs" dxfId="455" priority="1532" operator="lessThan">
      <formula>-4100</formula>
    </cfRule>
  </conditionalFormatting>
  <conditionalFormatting sqref="F29">
    <cfRule type="cellIs" dxfId="454" priority="1533" operator="greaterThanOrEqual">
      <formula>0</formula>
    </cfRule>
  </conditionalFormatting>
  <conditionalFormatting sqref="F29">
    <cfRule type="cellIs" dxfId="453" priority="1534" operator="lessThan">
      <formula>-4100</formula>
    </cfRule>
  </conditionalFormatting>
  <conditionalFormatting sqref="E29">
    <cfRule type="cellIs" dxfId="452" priority="1535" operator="greaterThan">
      <formula>0</formula>
    </cfRule>
  </conditionalFormatting>
  <conditionalFormatting sqref="F59">
    <cfRule type="cellIs" dxfId="451" priority="1468" operator="lessThan">
      <formula>-4100</formula>
    </cfRule>
  </conditionalFormatting>
  <conditionalFormatting sqref="F59">
    <cfRule type="cellIs" dxfId="450" priority="1469" operator="greaterThanOrEqual">
      <formula>0</formula>
    </cfRule>
  </conditionalFormatting>
  <conditionalFormatting sqref="F59">
    <cfRule type="cellIs" dxfId="449" priority="1470" operator="greaterThanOrEqual">
      <formula>0</formula>
    </cfRule>
  </conditionalFormatting>
  <conditionalFormatting sqref="F59">
    <cfRule type="cellIs" dxfId="448" priority="1471" operator="lessThan">
      <formula>-4100</formula>
    </cfRule>
  </conditionalFormatting>
  <conditionalFormatting sqref="F59">
    <cfRule type="cellIs" dxfId="447" priority="1472" operator="greaterThanOrEqual">
      <formula>0</formula>
    </cfRule>
  </conditionalFormatting>
  <conditionalFormatting sqref="F59">
    <cfRule type="cellIs" dxfId="446" priority="1473" operator="lessThan">
      <formula>-4100</formula>
    </cfRule>
  </conditionalFormatting>
  <conditionalFormatting sqref="F59">
    <cfRule type="cellIs" dxfId="445" priority="1474" operator="greaterThanOrEqual">
      <formula>0</formula>
    </cfRule>
  </conditionalFormatting>
  <conditionalFormatting sqref="F59">
    <cfRule type="cellIs" dxfId="444" priority="1475" operator="lessThan">
      <formula>-4100</formula>
    </cfRule>
  </conditionalFormatting>
  <conditionalFormatting sqref="F59">
    <cfRule type="cellIs" dxfId="443" priority="1476" operator="greaterThanOrEqual">
      <formula>0</formula>
    </cfRule>
  </conditionalFormatting>
  <conditionalFormatting sqref="F59">
    <cfRule type="cellIs" dxfId="442" priority="1477" operator="lessThan">
      <formula>-4100</formula>
    </cfRule>
  </conditionalFormatting>
  <conditionalFormatting sqref="F59">
    <cfRule type="cellIs" dxfId="441" priority="1478" operator="lessThan">
      <formula>-4100</formula>
    </cfRule>
  </conditionalFormatting>
  <conditionalFormatting sqref="F59">
    <cfRule type="cellIs" dxfId="440" priority="1479" operator="greaterThanOrEqual">
      <formula>0</formula>
    </cfRule>
  </conditionalFormatting>
  <conditionalFormatting sqref="F59">
    <cfRule type="cellIs" dxfId="439" priority="1480" operator="greaterThanOrEqual">
      <formula>0</formula>
    </cfRule>
  </conditionalFormatting>
  <conditionalFormatting sqref="F59">
    <cfRule type="cellIs" dxfId="438" priority="1481" operator="lessThan">
      <formula>-4100</formula>
    </cfRule>
  </conditionalFormatting>
  <conditionalFormatting sqref="F59">
    <cfRule type="cellIs" dxfId="437" priority="1482" operator="greaterThanOrEqual">
      <formula>0</formula>
    </cfRule>
  </conditionalFormatting>
  <conditionalFormatting sqref="F59">
    <cfRule type="cellIs" dxfId="436" priority="1483" operator="lessThan">
      <formula>-4100</formula>
    </cfRule>
  </conditionalFormatting>
  <conditionalFormatting sqref="E59">
    <cfRule type="cellIs" dxfId="435" priority="1484" operator="greaterThan">
      <formula>0</formula>
    </cfRule>
  </conditionalFormatting>
  <conditionalFormatting sqref="F445">
    <cfRule type="cellIs" dxfId="434" priority="1424" operator="greaterThanOrEqual">
      <formula>0</formula>
    </cfRule>
  </conditionalFormatting>
  <conditionalFormatting sqref="F445">
    <cfRule type="cellIs" dxfId="433" priority="1425" operator="lessThan">
      <formula>-4100</formula>
    </cfRule>
  </conditionalFormatting>
  <conditionalFormatting sqref="F445">
    <cfRule type="cellIs" dxfId="432" priority="1426" operator="greaterThanOrEqual">
      <formula>0</formula>
    </cfRule>
  </conditionalFormatting>
  <conditionalFormatting sqref="F445">
    <cfRule type="cellIs" dxfId="431" priority="1427" operator="lessThan">
      <formula>-4100</formula>
    </cfRule>
  </conditionalFormatting>
  <conditionalFormatting sqref="F445">
    <cfRule type="cellIs" dxfId="430" priority="1428" operator="greaterThanOrEqual">
      <formula>0</formula>
    </cfRule>
  </conditionalFormatting>
  <conditionalFormatting sqref="F445">
    <cfRule type="cellIs" dxfId="429" priority="1429" operator="lessThan">
      <formula>-4100</formula>
    </cfRule>
  </conditionalFormatting>
  <conditionalFormatting sqref="F445">
    <cfRule type="cellIs" dxfId="428" priority="1430" operator="greaterThanOrEqual">
      <formula>0</formula>
    </cfRule>
  </conditionalFormatting>
  <conditionalFormatting sqref="F445">
    <cfRule type="cellIs" dxfId="427" priority="1431" operator="lessThan">
      <formula>-4100</formula>
    </cfRule>
  </conditionalFormatting>
  <conditionalFormatting sqref="F445">
    <cfRule type="cellIs" dxfId="426" priority="1432" operator="greaterThanOrEqual">
      <formula>0</formula>
    </cfRule>
  </conditionalFormatting>
  <conditionalFormatting sqref="F445">
    <cfRule type="cellIs" dxfId="425" priority="1433" operator="lessThan">
      <formula>-4100</formula>
    </cfRule>
  </conditionalFormatting>
  <conditionalFormatting sqref="F445">
    <cfRule type="cellIs" dxfId="424" priority="1434" operator="greaterThanOrEqual">
      <formula>0</formula>
    </cfRule>
  </conditionalFormatting>
  <conditionalFormatting sqref="F445">
    <cfRule type="cellIs" dxfId="423" priority="1435" operator="lessThan">
      <formula>-4100</formula>
    </cfRule>
  </conditionalFormatting>
  <conditionalFormatting sqref="F445">
    <cfRule type="cellIs" dxfId="422" priority="1436" operator="greaterThanOrEqual">
      <formula>0</formula>
    </cfRule>
  </conditionalFormatting>
  <conditionalFormatting sqref="F445">
    <cfRule type="cellIs" dxfId="421" priority="1437" operator="lessThan">
      <formula>-4100</formula>
    </cfRule>
  </conditionalFormatting>
  <conditionalFormatting sqref="F445">
    <cfRule type="cellIs" dxfId="420" priority="1438" operator="greaterThanOrEqual">
      <formula>0</formula>
    </cfRule>
  </conditionalFormatting>
  <conditionalFormatting sqref="F445">
    <cfRule type="cellIs" dxfId="419" priority="1439" operator="lessThan">
      <formula>-4100</formula>
    </cfRule>
  </conditionalFormatting>
  <conditionalFormatting sqref="E445">
    <cfRule type="cellIs" dxfId="418" priority="1440" operator="greaterThan">
      <formula>0</formula>
    </cfRule>
  </conditionalFormatting>
  <conditionalFormatting sqref="F184">
    <cfRule type="cellIs" dxfId="417" priority="1407" operator="greaterThanOrEqual">
      <formula>0</formula>
    </cfRule>
  </conditionalFormatting>
  <conditionalFormatting sqref="F184">
    <cfRule type="cellIs" dxfId="416" priority="1408" operator="lessThan">
      <formula>-4100</formula>
    </cfRule>
  </conditionalFormatting>
  <conditionalFormatting sqref="F184">
    <cfRule type="cellIs" dxfId="415" priority="1409" operator="greaterThanOrEqual">
      <formula>0</formula>
    </cfRule>
  </conditionalFormatting>
  <conditionalFormatting sqref="F184">
    <cfRule type="cellIs" dxfId="414" priority="1410" operator="lessThan">
      <formula>-4100</formula>
    </cfRule>
  </conditionalFormatting>
  <conditionalFormatting sqref="E184">
    <cfRule type="cellIs" dxfId="413" priority="1411" operator="greaterThan">
      <formula>0</formula>
    </cfRule>
  </conditionalFormatting>
  <conditionalFormatting sqref="F184">
    <cfRule type="cellIs" dxfId="412" priority="1412" operator="greaterThanOrEqual">
      <formula>0</formula>
    </cfRule>
  </conditionalFormatting>
  <conditionalFormatting sqref="F184">
    <cfRule type="cellIs" dxfId="411" priority="1413" operator="lessThan">
      <formula>-4100</formula>
    </cfRule>
  </conditionalFormatting>
  <conditionalFormatting sqref="F184">
    <cfRule type="cellIs" dxfId="410" priority="1414" operator="greaterThanOrEqual">
      <formula>0</formula>
    </cfRule>
  </conditionalFormatting>
  <conditionalFormatting sqref="F184">
    <cfRule type="cellIs" dxfId="409" priority="1415" operator="lessThan">
      <formula>-4100</formula>
    </cfRule>
  </conditionalFormatting>
  <conditionalFormatting sqref="F184">
    <cfRule type="cellIs" dxfId="408" priority="1416" operator="greaterThanOrEqual">
      <formula>0</formula>
    </cfRule>
  </conditionalFormatting>
  <conditionalFormatting sqref="F184">
    <cfRule type="cellIs" dxfId="407" priority="1417" operator="lessThan">
      <formula>-4100</formula>
    </cfRule>
  </conditionalFormatting>
  <conditionalFormatting sqref="F184">
    <cfRule type="cellIs" dxfId="406" priority="1418" operator="greaterThanOrEqual">
      <formula>0</formula>
    </cfRule>
  </conditionalFormatting>
  <conditionalFormatting sqref="F184">
    <cfRule type="cellIs" dxfId="405" priority="1419" operator="lessThan">
      <formula>-4100</formula>
    </cfRule>
  </conditionalFormatting>
  <conditionalFormatting sqref="F184">
    <cfRule type="cellIs" dxfId="404" priority="1420" operator="greaterThanOrEqual">
      <formula>0</formula>
    </cfRule>
  </conditionalFormatting>
  <conditionalFormatting sqref="F184">
    <cfRule type="cellIs" dxfId="403" priority="1421" operator="lessThan">
      <formula>-4100</formula>
    </cfRule>
  </conditionalFormatting>
  <conditionalFormatting sqref="F184">
    <cfRule type="cellIs" dxfId="402" priority="1422" operator="greaterThanOrEqual">
      <formula>0</formula>
    </cfRule>
  </conditionalFormatting>
  <conditionalFormatting sqref="F184">
    <cfRule type="cellIs" dxfId="401" priority="1423" operator="lessThan">
      <formula>-4100</formula>
    </cfRule>
  </conditionalFormatting>
  <conditionalFormatting sqref="F249">
    <cfRule type="cellIs" dxfId="400" priority="1356" operator="lessThan">
      <formula>-4100</formula>
    </cfRule>
  </conditionalFormatting>
  <conditionalFormatting sqref="F249">
    <cfRule type="cellIs" dxfId="399" priority="1357" operator="greaterThanOrEqual">
      <formula>0</formula>
    </cfRule>
  </conditionalFormatting>
  <conditionalFormatting sqref="F249">
    <cfRule type="cellIs" dxfId="398" priority="1358" operator="greaterThanOrEqual">
      <formula>0</formula>
    </cfRule>
  </conditionalFormatting>
  <conditionalFormatting sqref="F249">
    <cfRule type="cellIs" dxfId="397" priority="1359" operator="lessThan">
      <formula>-4100</formula>
    </cfRule>
  </conditionalFormatting>
  <conditionalFormatting sqref="F249">
    <cfRule type="cellIs" dxfId="396" priority="1360" operator="greaterThanOrEqual">
      <formula>0</formula>
    </cfRule>
  </conditionalFormatting>
  <conditionalFormatting sqref="F249">
    <cfRule type="cellIs" dxfId="395" priority="1361" operator="lessThan">
      <formula>-4100</formula>
    </cfRule>
  </conditionalFormatting>
  <conditionalFormatting sqref="F249">
    <cfRule type="cellIs" dxfId="394" priority="1362" operator="greaterThanOrEqual">
      <formula>0</formula>
    </cfRule>
  </conditionalFormatting>
  <conditionalFormatting sqref="F249">
    <cfRule type="cellIs" dxfId="393" priority="1363" operator="lessThan">
      <formula>-4100</formula>
    </cfRule>
  </conditionalFormatting>
  <conditionalFormatting sqref="F249">
    <cfRule type="cellIs" dxfId="392" priority="1364" operator="greaterThanOrEqual">
      <formula>0</formula>
    </cfRule>
  </conditionalFormatting>
  <conditionalFormatting sqref="F249">
    <cfRule type="cellIs" dxfId="391" priority="1365" operator="lessThan">
      <formula>-4100</formula>
    </cfRule>
  </conditionalFormatting>
  <conditionalFormatting sqref="F249">
    <cfRule type="cellIs" dxfId="390" priority="1366" operator="lessThan">
      <formula>-4100</formula>
    </cfRule>
  </conditionalFormatting>
  <conditionalFormatting sqref="F249">
    <cfRule type="cellIs" dxfId="389" priority="1367" operator="greaterThanOrEqual">
      <formula>0</formula>
    </cfRule>
  </conditionalFormatting>
  <conditionalFormatting sqref="F249">
    <cfRule type="cellIs" dxfId="388" priority="1368" operator="greaterThanOrEqual">
      <formula>0</formula>
    </cfRule>
  </conditionalFormatting>
  <conditionalFormatting sqref="F249">
    <cfRule type="cellIs" dxfId="387" priority="1369" operator="lessThan">
      <formula>-4100</formula>
    </cfRule>
  </conditionalFormatting>
  <conditionalFormatting sqref="F249">
    <cfRule type="cellIs" dxfId="386" priority="1370" operator="greaterThanOrEqual">
      <formula>0</formula>
    </cfRule>
  </conditionalFormatting>
  <conditionalFormatting sqref="F249">
    <cfRule type="cellIs" dxfId="385" priority="1371" operator="lessThan">
      <formula>-4100</formula>
    </cfRule>
  </conditionalFormatting>
  <conditionalFormatting sqref="E249">
    <cfRule type="cellIs" dxfId="384" priority="1372" operator="greaterThan">
      <formula>0</formula>
    </cfRule>
  </conditionalFormatting>
  <conditionalFormatting sqref="F109">
    <cfRule type="cellIs" dxfId="383" priority="1339" operator="lessThan">
      <formula>-4100</formula>
    </cfRule>
  </conditionalFormatting>
  <conditionalFormatting sqref="F109">
    <cfRule type="cellIs" dxfId="382" priority="1340" operator="greaterThanOrEqual">
      <formula>0</formula>
    </cfRule>
  </conditionalFormatting>
  <conditionalFormatting sqref="F109">
    <cfRule type="cellIs" dxfId="381" priority="1341" operator="greaterThanOrEqual">
      <formula>0</formula>
    </cfRule>
  </conditionalFormatting>
  <conditionalFormatting sqref="F109">
    <cfRule type="cellIs" dxfId="380" priority="1342" operator="lessThan">
      <formula>-4100</formula>
    </cfRule>
  </conditionalFormatting>
  <conditionalFormatting sqref="F109">
    <cfRule type="cellIs" dxfId="379" priority="1343" operator="greaterThanOrEqual">
      <formula>0</formula>
    </cfRule>
  </conditionalFormatting>
  <conditionalFormatting sqref="F109">
    <cfRule type="cellIs" dxfId="378" priority="1344" operator="lessThan">
      <formula>-4100</formula>
    </cfRule>
  </conditionalFormatting>
  <conditionalFormatting sqref="F109">
    <cfRule type="cellIs" dxfId="377" priority="1345" operator="greaterThanOrEqual">
      <formula>0</formula>
    </cfRule>
  </conditionalFormatting>
  <conditionalFormatting sqref="F109">
    <cfRule type="cellIs" dxfId="376" priority="1346" operator="lessThan">
      <formula>-4100</formula>
    </cfRule>
  </conditionalFormatting>
  <conditionalFormatting sqref="F109">
    <cfRule type="cellIs" dxfId="375" priority="1347" operator="greaterThanOrEqual">
      <formula>0</formula>
    </cfRule>
  </conditionalFormatting>
  <conditionalFormatting sqref="F109">
    <cfRule type="cellIs" dxfId="374" priority="1348" operator="lessThan">
      <formula>-4100</formula>
    </cfRule>
  </conditionalFormatting>
  <conditionalFormatting sqref="F109">
    <cfRule type="cellIs" dxfId="373" priority="1349" operator="lessThan">
      <formula>-4100</formula>
    </cfRule>
  </conditionalFormatting>
  <conditionalFormatting sqref="F109">
    <cfRule type="cellIs" dxfId="372" priority="1350" operator="greaterThanOrEqual">
      <formula>0</formula>
    </cfRule>
  </conditionalFormatting>
  <conditionalFormatting sqref="F109">
    <cfRule type="cellIs" dxfId="371" priority="1351" operator="greaterThanOrEqual">
      <formula>0</formula>
    </cfRule>
  </conditionalFormatting>
  <conditionalFormatting sqref="F109">
    <cfRule type="cellIs" dxfId="370" priority="1352" operator="lessThan">
      <formula>-4100</formula>
    </cfRule>
  </conditionalFormatting>
  <conditionalFormatting sqref="F109">
    <cfRule type="cellIs" dxfId="369" priority="1353" operator="greaterThanOrEqual">
      <formula>0</formula>
    </cfRule>
  </conditionalFormatting>
  <conditionalFormatting sqref="F109">
    <cfRule type="cellIs" dxfId="368" priority="1354" operator="lessThan">
      <formula>-4100</formula>
    </cfRule>
  </conditionalFormatting>
  <conditionalFormatting sqref="E109">
    <cfRule type="cellIs" dxfId="367" priority="1355" operator="greaterThan">
      <formula>0</formula>
    </cfRule>
  </conditionalFormatting>
  <conditionalFormatting sqref="H5">
    <cfRule type="expression" dxfId="366" priority="1331">
      <formula>H5&lt;($D$3-6%)</formula>
    </cfRule>
  </conditionalFormatting>
  <conditionalFormatting sqref="H5">
    <cfRule type="expression" dxfId="365" priority="1332">
      <formula>H5&gt;($D$3+6%)</formula>
    </cfRule>
  </conditionalFormatting>
  <conditionalFormatting sqref="H5">
    <cfRule type="expression" dxfId="364" priority="1333">
      <formula>H5&lt;($D$3-3%)</formula>
    </cfRule>
  </conditionalFormatting>
  <conditionalFormatting sqref="H5">
    <cfRule type="expression" dxfId="363" priority="1334">
      <formula>H5&gt;($D$3+3%)</formula>
    </cfRule>
  </conditionalFormatting>
  <conditionalFormatting sqref="H6">
    <cfRule type="expression" dxfId="362" priority="1335">
      <formula>H6&lt;($D$3-6%)</formula>
    </cfRule>
  </conditionalFormatting>
  <conditionalFormatting sqref="H6">
    <cfRule type="expression" dxfId="361" priority="1336">
      <formula>H6&gt;($D$3+6%)</formula>
    </cfRule>
  </conditionalFormatting>
  <conditionalFormatting sqref="H6">
    <cfRule type="expression" dxfId="360" priority="1337">
      <formula>H6&lt;($D$3-3%)</formula>
    </cfRule>
  </conditionalFormatting>
  <conditionalFormatting sqref="H6">
    <cfRule type="expression" dxfId="359" priority="1338">
      <formula>H6&gt;($D$3+3%)</formula>
    </cfRule>
  </conditionalFormatting>
  <conditionalFormatting sqref="F9">
    <cfRule type="cellIs" dxfId="358" priority="1314" operator="lessThan">
      <formula>-4100</formula>
    </cfRule>
  </conditionalFormatting>
  <conditionalFormatting sqref="F9">
    <cfRule type="cellIs" dxfId="357" priority="1315" operator="greaterThanOrEqual">
      <formula>0</formula>
    </cfRule>
  </conditionalFormatting>
  <conditionalFormatting sqref="F9">
    <cfRule type="cellIs" dxfId="356" priority="1316" operator="greaterThanOrEqual">
      <formula>0</formula>
    </cfRule>
  </conditionalFormatting>
  <conditionalFormatting sqref="F9">
    <cfRule type="cellIs" dxfId="355" priority="1317" operator="lessThan">
      <formula>-4100</formula>
    </cfRule>
  </conditionalFormatting>
  <conditionalFormatting sqref="F9">
    <cfRule type="cellIs" dxfId="354" priority="1318" operator="greaterThanOrEqual">
      <formula>0</formula>
    </cfRule>
  </conditionalFormatting>
  <conditionalFormatting sqref="F9">
    <cfRule type="cellIs" dxfId="353" priority="1319" operator="lessThan">
      <formula>-4100</formula>
    </cfRule>
  </conditionalFormatting>
  <conditionalFormatting sqref="F9">
    <cfRule type="cellIs" dxfId="352" priority="1320" operator="greaterThanOrEqual">
      <formula>0</formula>
    </cfRule>
  </conditionalFormatting>
  <conditionalFormatting sqref="F9">
    <cfRule type="cellIs" dxfId="351" priority="1321" operator="lessThan">
      <formula>-4100</formula>
    </cfRule>
  </conditionalFormatting>
  <conditionalFormatting sqref="F9">
    <cfRule type="cellIs" dxfId="350" priority="1322" operator="greaterThanOrEqual">
      <formula>0</formula>
    </cfRule>
  </conditionalFormatting>
  <conditionalFormatting sqref="F9">
    <cfRule type="cellIs" dxfId="349" priority="1323" operator="lessThan">
      <formula>-4100</formula>
    </cfRule>
  </conditionalFormatting>
  <conditionalFormatting sqref="F9">
    <cfRule type="cellIs" dxfId="348" priority="1324" operator="lessThan">
      <formula>-4100</formula>
    </cfRule>
  </conditionalFormatting>
  <conditionalFormatting sqref="F9">
    <cfRule type="cellIs" dxfId="347" priority="1325" operator="greaterThanOrEqual">
      <formula>0</formula>
    </cfRule>
  </conditionalFormatting>
  <conditionalFormatting sqref="F9">
    <cfRule type="cellIs" dxfId="346" priority="1326" operator="greaterThanOrEqual">
      <formula>0</formula>
    </cfRule>
  </conditionalFormatting>
  <conditionalFormatting sqref="F9">
    <cfRule type="cellIs" dxfId="345" priority="1327" operator="lessThan">
      <formula>-4100</formula>
    </cfRule>
  </conditionalFormatting>
  <conditionalFormatting sqref="F9">
    <cfRule type="cellIs" dxfId="344" priority="1328" operator="greaterThanOrEqual">
      <formula>0</formula>
    </cfRule>
  </conditionalFormatting>
  <conditionalFormatting sqref="F9">
    <cfRule type="cellIs" dxfId="343" priority="1329" operator="lessThan">
      <formula>-4100</formula>
    </cfRule>
  </conditionalFormatting>
  <conditionalFormatting sqref="E9">
    <cfRule type="cellIs" dxfId="342" priority="1330" operator="greaterThan">
      <formula>0</formula>
    </cfRule>
  </conditionalFormatting>
  <conditionalFormatting sqref="F14">
    <cfRule type="cellIs" dxfId="341" priority="1297" operator="lessThan">
      <formula>-4100</formula>
    </cfRule>
  </conditionalFormatting>
  <conditionalFormatting sqref="F14">
    <cfRule type="cellIs" dxfId="340" priority="1298" operator="greaterThanOrEqual">
      <formula>0</formula>
    </cfRule>
  </conditionalFormatting>
  <conditionalFormatting sqref="F14">
    <cfRule type="cellIs" dxfId="339" priority="1299" operator="greaterThanOrEqual">
      <formula>0</formula>
    </cfRule>
  </conditionalFormatting>
  <conditionalFormatting sqref="F14">
    <cfRule type="cellIs" dxfId="338" priority="1300" operator="lessThan">
      <formula>-4100</formula>
    </cfRule>
  </conditionalFormatting>
  <conditionalFormatting sqref="F14">
    <cfRule type="cellIs" dxfId="337" priority="1301" operator="greaterThanOrEqual">
      <formula>0</formula>
    </cfRule>
  </conditionalFormatting>
  <conditionalFormatting sqref="F14">
    <cfRule type="cellIs" dxfId="336" priority="1302" operator="lessThan">
      <formula>-4100</formula>
    </cfRule>
  </conditionalFormatting>
  <conditionalFormatting sqref="F14">
    <cfRule type="cellIs" dxfId="335" priority="1303" operator="greaterThanOrEqual">
      <formula>0</formula>
    </cfRule>
  </conditionalFormatting>
  <conditionalFormatting sqref="F14">
    <cfRule type="cellIs" dxfId="334" priority="1304" operator="lessThan">
      <formula>-4100</formula>
    </cfRule>
  </conditionalFormatting>
  <conditionalFormatting sqref="F14">
    <cfRule type="cellIs" dxfId="333" priority="1305" operator="greaterThanOrEqual">
      <formula>0</formula>
    </cfRule>
  </conditionalFormatting>
  <conditionalFormatting sqref="F14">
    <cfRule type="cellIs" dxfId="332" priority="1306" operator="lessThan">
      <formula>-4100</formula>
    </cfRule>
  </conditionalFormatting>
  <conditionalFormatting sqref="F14">
    <cfRule type="cellIs" dxfId="331" priority="1307" operator="lessThan">
      <formula>-4100</formula>
    </cfRule>
  </conditionalFormatting>
  <conditionalFormatting sqref="F14">
    <cfRule type="cellIs" dxfId="330" priority="1308" operator="greaterThanOrEqual">
      <formula>0</formula>
    </cfRule>
  </conditionalFormatting>
  <conditionalFormatting sqref="F14">
    <cfRule type="cellIs" dxfId="329" priority="1309" operator="greaterThanOrEqual">
      <formula>0</formula>
    </cfRule>
  </conditionalFormatting>
  <conditionalFormatting sqref="F14">
    <cfRule type="cellIs" dxfId="328" priority="1310" operator="lessThan">
      <formula>-4100</formula>
    </cfRule>
  </conditionalFormatting>
  <conditionalFormatting sqref="F14">
    <cfRule type="cellIs" dxfId="327" priority="1311" operator="greaterThanOrEqual">
      <formula>0</formula>
    </cfRule>
  </conditionalFormatting>
  <conditionalFormatting sqref="F14">
    <cfRule type="cellIs" dxfId="326" priority="1312" operator="lessThan">
      <formula>-4100</formula>
    </cfRule>
  </conditionalFormatting>
  <conditionalFormatting sqref="E14">
    <cfRule type="cellIs" dxfId="325" priority="1313" operator="greaterThan">
      <formula>0</formula>
    </cfRule>
  </conditionalFormatting>
  <conditionalFormatting sqref="F290">
    <cfRule type="cellIs" dxfId="324" priority="1275" operator="lessThan">
      <formula>-4100</formula>
    </cfRule>
  </conditionalFormatting>
  <conditionalFormatting sqref="F290">
    <cfRule type="cellIs" dxfId="323" priority="1276" operator="greaterThanOrEqual">
      <formula>0</formula>
    </cfRule>
  </conditionalFormatting>
  <conditionalFormatting sqref="F290">
    <cfRule type="cellIs" dxfId="322" priority="1262" operator="greaterThanOrEqual">
      <formula>0</formula>
    </cfRule>
  </conditionalFormatting>
  <conditionalFormatting sqref="F290">
    <cfRule type="cellIs" dxfId="321" priority="1263" operator="lessThan">
      <formula>-4100</formula>
    </cfRule>
  </conditionalFormatting>
  <conditionalFormatting sqref="F290">
    <cfRule type="cellIs" dxfId="320" priority="1264" operator="greaterThanOrEqual">
      <formula>0</formula>
    </cfRule>
  </conditionalFormatting>
  <conditionalFormatting sqref="F290">
    <cfRule type="cellIs" dxfId="319" priority="1265" operator="lessThan">
      <formula>-4100</formula>
    </cfRule>
  </conditionalFormatting>
  <conditionalFormatting sqref="F290">
    <cfRule type="cellIs" dxfId="318" priority="1266" operator="greaterThanOrEqual">
      <formula>0</formula>
    </cfRule>
  </conditionalFormatting>
  <conditionalFormatting sqref="F290">
    <cfRule type="cellIs" dxfId="317" priority="1267" operator="lessThan">
      <formula>-4100</formula>
    </cfRule>
  </conditionalFormatting>
  <conditionalFormatting sqref="F290">
    <cfRule type="cellIs" dxfId="316" priority="1268" operator="greaterThanOrEqual">
      <formula>0</formula>
    </cfRule>
  </conditionalFormatting>
  <conditionalFormatting sqref="F290">
    <cfRule type="cellIs" dxfId="315" priority="1269" operator="lessThan">
      <formula>-4100</formula>
    </cfRule>
  </conditionalFormatting>
  <conditionalFormatting sqref="E290">
    <cfRule type="cellIs" dxfId="314" priority="1270" operator="greaterThan">
      <formula>0</formula>
    </cfRule>
  </conditionalFormatting>
  <conditionalFormatting sqref="F290">
    <cfRule type="cellIs" dxfId="313" priority="1271" operator="greaterThanOrEqual">
      <formula>0</formula>
    </cfRule>
  </conditionalFormatting>
  <conditionalFormatting sqref="F290">
    <cfRule type="cellIs" dxfId="312" priority="1272" operator="lessThan">
      <formula>-4100</formula>
    </cfRule>
  </conditionalFormatting>
  <conditionalFormatting sqref="F290">
    <cfRule type="cellIs" dxfId="311" priority="1273" operator="greaterThanOrEqual">
      <formula>0</formula>
    </cfRule>
  </conditionalFormatting>
  <conditionalFormatting sqref="F290">
    <cfRule type="cellIs" dxfId="310" priority="1274" operator="lessThan">
      <formula>-4100</formula>
    </cfRule>
  </conditionalFormatting>
  <conditionalFormatting sqref="F290">
    <cfRule type="cellIs" dxfId="309" priority="1277" operator="greaterThanOrEqual">
      <formula>0</formula>
    </cfRule>
  </conditionalFormatting>
  <conditionalFormatting sqref="F290">
    <cfRule type="cellIs" dxfId="308" priority="1278" operator="lessThan">
      <formula>-4100</formula>
    </cfRule>
  </conditionalFormatting>
  <conditionalFormatting sqref="F179">
    <cfRule type="cellIs" dxfId="307" priority="1040" operator="greaterThanOrEqual">
      <formula>0</formula>
    </cfRule>
  </conditionalFormatting>
  <conditionalFormatting sqref="F179">
    <cfRule type="cellIs" dxfId="306" priority="1041" operator="lessThan">
      <formula>-4100</formula>
    </cfRule>
  </conditionalFormatting>
  <conditionalFormatting sqref="F179">
    <cfRule type="cellIs" dxfId="305" priority="1042" operator="greaterThanOrEqual">
      <formula>0</formula>
    </cfRule>
  </conditionalFormatting>
  <conditionalFormatting sqref="F179">
    <cfRule type="cellIs" dxfId="304" priority="1043" operator="lessThan">
      <formula>-4100</formula>
    </cfRule>
  </conditionalFormatting>
  <conditionalFormatting sqref="E179">
    <cfRule type="cellIs" dxfId="303" priority="1044" operator="greaterThan">
      <formula>0</formula>
    </cfRule>
  </conditionalFormatting>
  <conditionalFormatting sqref="F179">
    <cfRule type="cellIs" dxfId="302" priority="1045" operator="greaterThanOrEqual">
      <formula>0</formula>
    </cfRule>
  </conditionalFormatting>
  <conditionalFormatting sqref="F179">
    <cfRule type="cellIs" dxfId="301" priority="1046" operator="lessThan">
      <formula>-4100</formula>
    </cfRule>
  </conditionalFormatting>
  <conditionalFormatting sqref="F179">
    <cfRule type="cellIs" dxfId="300" priority="1047" operator="greaterThanOrEqual">
      <formula>0</formula>
    </cfRule>
  </conditionalFormatting>
  <conditionalFormatting sqref="F179">
    <cfRule type="cellIs" dxfId="299" priority="1048" operator="lessThan">
      <formula>-4100</formula>
    </cfRule>
  </conditionalFormatting>
  <conditionalFormatting sqref="F179">
    <cfRule type="cellIs" dxfId="298" priority="1049" operator="greaterThanOrEqual">
      <formula>0</formula>
    </cfRule>
  </conditionalFormatting>
  <conditionalFormatting sqref="F179">
    <cfRule type="cellIs" dxfId="297" priority="1050" operator="lessThan">
      <formula>-4100</formula>
    </cfRule>
  </conditionalFormatting>
  <conditionalFormatting sqref="F179">
    <cfRule type="cellIs" dxfId="296" priority="1051" operator="greaterThanOrEqual">
      <formula>0</formula>
    </cfRule>
  </conditionalFormatting>
  <conditionalFormatting sqref="F179">
    <cfRule type="cellIs" dxfId="295" priority="1052" operator="lessThan">
      <formula>-4100</formula>
    </cfRule>
  </conditionalFormatting>
  <conditionalFormatting sqref="F179">
    <cfRule type="cellIs" dxfId="294" priority="1053" operator="greaterThanOrEqual">
      <formula>0</formula>
    </cfRule>
  </conditionalFormatting>
  <conditionalFormatting sqref="F179">
    <cfRule type="cellIs" dxfId="293" priority="1054" operator="lessThan">
      <formula>-4100</formula>
    </cfRule>
  </conditionalFormatting>
  <conditionalFormatting sqref="F179">
    <cfRule type="cellIs" dxfId="292" priority="1055" operator="greaterThanOrEqual">
      <formula>0</formula>
    </cfRule>
  </conditionalFormatting>
  <conditionalFormatting sqref="F179">
    <cfRule type="cellIs" dxfId="291" priority="1056" operator="lessThan">
      <formula>-4100</formula>
    </cfRule>
  </conditionalFormatting>
  <conditionalFormatting sqref="F239">
    <cfRule type="cellIs" dxfId="290" priority="1023" operator="lessThan">
      <formula>-4100</formula>
    </cfRule>
  </conditionalFormatting>
  <conditionalFormatting sqref="F239">
    <cfRule type="cellIs" dxfId="289" priority="1024" operator="greaterThanOrEqual">
      <formula>0</formula>
    </cfRule>
  </conditionalFormatting>
  <conditionalFormatting sqref="F239">
    <cfRule type="cellIs" dxfId="288" priority="1025" operator="greaterThanOrEqual">
      <formula>0</formula>
    </cfRule>
  </conditionalFormatting>
  <conditionalFormatting sqref="F239">
    <cfRule type="cellIs" dxfId="287" priority="1026" operator="lessThan">
      <formula>-4100</formula>
    </cfRule>
  </conditionalFormatting>
  <conditionalFormatting sqref="F239">
    <cfRule type="cellIs" dxfId="286" priority="1027" operator="greaterThanOrEqual">
      <formula>0</formula>
    </cfRule>
  </conditionalFormatting>
  <conditionalFormatting sqref="F239">
    <cfRule type="cellIs" dxfId="285" priority="1028" operator="lessThan">
      <formula>-4100</formula>
    </cfRule>
  </conditionalFormatting>
  <conditionalFormatting sqref="F239">
    <cfRule type="cellIs" dxfId="284" priority="1029" operator="greaterThanOrEqual">
      <formula>0</formula>
    </cfRule>
  </conditionalFormatting>
  <conditionalFormatting sqref="F239">
    <cfRule type="cellIs" dxfId="283" priority="1030" operator="lessThan">
      <formula>-4100</formula>
    </cfRule>
  </conditionalFormatting>
  <conditionalFormatting sqref="F239">
    <cfRule type="cellIs" dxfId="282" priority="1031" operator="greaterThanOrEqual">
      <formula>0</formula>
    </cfRule>
  </conditionalFormatting>
  <conditionalFormatting sqref="F239">
    <cfRule type="cellIs" dxfId="281" priority="1032" operator="lessThan">
      <formula>-4100</formula>
    </cfRule>
  </conditionalFormatting>
  <conditionalFormatting sqref="F239">
    <cfRule type="cellIs" dxfId="280" priority="1033" operator="lessThan">
      <formula>-4100</formula>
    </cfRule>
  </conditionalFormatting>
  <conditionalFormatting sqref="F239">
    <cfRule type="cellIs" dxfId="279" priority="1034" operator="greaterThanOrEqual">
      <formula>0</formula>
    </cfRule>
  </conditionalFormatting>
  <conditionalFormatting sqref="F239">
    <cfRule type="cellIs" dxfId="278" priority="1035" operator="greaterThanOrEqual">
      <formula>0</formula>
    </cfRule>
  </conditionalFormatting>
  <conditionalFormatting sqref="F239">
    <cfRule type="cellIs" dxfId="277" priority="1036" operator="lessThan">
      <formula>-4100</formula>
    </cfRule>
  </conditionalFormatting>
  <conditionalFormatting sqref="F239">
    <cfRule type="cellIs" dxfId="276" priority="1037" operator="greaterThanOrEqual">
      <formula>0</formula>
    </cfRule>
  </conditionalFormatting>
  <conditionalFormatting sqref="F239">
    <cfRule type="cellIs" dxfId="275" priority="1038" operator="lessThan">
      <formula>-4100</formula>
    </cfRule>
  </conditionalFormatting>
  <conditionalFormatting sqref="E239">
    <cfRule type="cellIs" dxfId="274" priority="1039" operator="greaterThan">
      <formula>0</formula>
    </cfRule>
  </conditionalFormatting>
  <conditionalFormatting sqref="F380">
    <cfRule type="cellIs" dxfId="273" priority="822" operator="lessThan">
      <formula>-4100</formula>
    </cfRule>
  </conditionalFormatting>
  <conditionalFormatting sqref="F380">
    <cfRule type="cellIs" dxfId="272" priority="823" operator="greaterThanOrEqual">
      <formula>0</formula>
    </cfRule>
  </conditionalFormatting>
  <conditionalFormatting sqref="F380">
    <cfRule type="cellIs" dxfId="271" priority="824" operator="greaterThanOrEqual">
      <formula>0</formula>
    </cfRule>
  </conditionalFormatting>
  <conditionalFormatting sqref="F380">
    <cfRule type="cellIs" dxfId="270" priority="825" operator="lessThan">
      <formula>-4100</formula>
    </cfRule>
  </conditionalFormatting>
  <conditionalFormatting sqref="F380">
    <cfRule type="cellIs" dxfId="269" priority="826" operator="greaterThanOrEqual">
      <formula>0</formula>
    </cfRule>
  </conditionalFormatting>
  <conditionalFormatting sqref="F380">
    <cfRule type="cellIs" dxfId="268" priority="827" operator="lessThan">
      <formula>-4100</formula>
    </cfRule>
  </conditionalFormatting>
  <conditionalFormatting sqref="F380">
    <cfRule type="cellIs" dxfId="267" priority="828" operator="greaterThanOrEqual">
      <formula>0</formula>
    </cfRule>
  </conditionalFormatting>
  <conditionalFormatting sqref="F380">
    <cfRule type="cellIs" dxfId="266" priority="829" operator="lessThan">
      <formula>-4100</formula>
    </cfRule>
  </conditionalFormatting>
  <conditionalFormatting sqref="E380">
    <cfRule type="cellIs" dxfId="265" priority="830" operator="greaterThan">
      <formula>0</formula>
    </cfRule>
  </conditionalFormatting>
  <conditionalFormatting sqref="F159">
    <cfRule type="cellIs" dxfId="264" priority="805" operator="lessThan">
      <formula>-4100</formula>
    </cfRule>
  </conditionalFormatting>
  <conditionalFormatting sqref="F159">
    <cfRule type="cellIs" dxfId="263" priority="806" operator="greaterThanOrEqual">
      <formula>0</formula>
    </cfRule>
  </conditionalFormatting>
  <conditionalFormatting sqref="F159">
    <cfRule type="cellIs" dxfId="262" priority="807" operator="greaterThanOrEqual">
      <formula>0</formula>
    </cfRule>
  </conditionalFormatting>
  <conditionalFormatting sqref="F159">
    <cfRule type="cellIs" dxfId="261" priority="808" operator="lessThan">
      <formula>-4100</formula>
    </cfRule>
  </conditionalFormatting>
  <conditionalFormatting sqref="F159">
    <cfRule type="cellIs" dxfId="260" priority="809" operator="greaterThanOrEqual">
      <formula>0</formula>
    </cfRule>
  </conditionalFormatting>
  <conditionalFormatting sqref="F159">
    <cfRule type="cellIs" dxfId="259" priority="810" operator="lessThan">
      <formula>-4100</formula>
    </cfRule>
  </conditionalFormatting>
  <conditionalFormatting sqref="F159">
    <cfRule type="cellIs" dxfId="258" priority="811" operator="lessThan">
      <formula>-4100</formula>
    </cfRule>
  </conditionalFormatting>
  <conditionalFormatting sqref="F159">
    <cfRule type="cellIs" dxfId="257" priority="812" operator="greaterThanOrEqual">
      <formula>0</formula>
    </cfRule>
  </conditionalFormatting>
  <conditionalFormatting sqref="F159">
    <cfRule type="cellIs" dxfId="256" priority="813" operator="greaterThanOrEqual">
      <formula>0</formula>
    </cfRule>
  </conditionalFormatting>
  <conditionalFormatting sqref="F159">
    <cfRule type="cellIs" dxfId="255" priority="814" operator="lessThan">
      <formula>-4100</formula>
    </cfRule>
  </conditionalFormatting>
  <conditionalFormatting sqref="F159">
    <cfRule type="cellIs" dxfId="254" priority="815" operator="greaterThanOrEqual">
      <formula>0</formula>
    </cfRule>
  </conditionalFormatting>
  <conditionalFormatting sqref="F159">
    <cfRule type="cellIs" dxfId="253" priority="816" operator="lessThan">
      <formula>-4100</formula>
    </cfRule>
  </conditionalFormatting>
  <conditionalFormatting sqref="E155:E159">
    <cfRule type="cellIs" dxfId="252" priority="817" operator="greaterThan">
      <formula>0</formula>
    </cfRule>
  </conditionalFormatting>
  <conditionalFormatting sqref="F159">
    <cfRule type="cellIs" dxfId="251" priority="818" operator="greaterThanOrEqual">
      <formula>0</formula>
    </cfRule>
  </conditionalFormatting>
  <conditionalFormatting sqref="F159">
    <cfRule type="cellIs" dxfId="250" priority="819" operator="lessThan">
      <formula>-4100</formula>
    </cfRule>
  </conditionalFormatting>
  <conditionalFormatting sqref="F159">
    <cfRule type="cellIs" dxfId="249" priority="820" operator="greaterThanOrEqual">
      <formula>0</formula>
    </cfRule>
  </conditionalFormatting>
  <conditionalFormatting sqref="F159">
    <cfRule type="cellIs" dxfId="248" priority="821" operator="lessThan">
      <formula>-4100</formula>
    </cfRule>
  </conditionalFormatting>
  <conditionalFormatting sqref="F440">
    <cfRule type="cellIs" dxfId="247" priority="754" operator="greaterThanOrEqual">
      <formula>0</formula>
    </cfRule>
  </conditionalFormatting>
  <conditionalFormatting sqref="F440">
    <cfRule type="cellIs" dxfId="246" priority="755" operator="lessThan">
      <formula>-4100</formula>
    </cfRule>
  </conditionalFormatting>
  <conditionalFormatting sqref="F440">
    <cfRule type="cellIs" dxfId="245" priority="756" operator="greaterThanOrEqual">
      <formula>0</formula>
    </cfRule>
  </conditionalFormatting>
  <conditionalFormatting sqref="F440">
    <cfRule type="cellIs" dxfId="244" priority="757" operator="lessThan">
      <formula>-4100</formula>
    </cfRule>
  </conditionalFormatting>
  <conditionalFormatting sqref="F440">
    <cfRule type="cellIs" dxfId="243" priority="758" operator="greaterThanOrEqual">
      <formula>0</formula>
    </cfRule>
  </conditionalFormatting>
  <conditionalFormatting sqref="F440">
    <cfRule type="cellIs" dxfId="242" priority="759" operator="lessThan">
      <formula>-4100</formula>
    </cfRule>
  </conditionalFormatting>
  <conditionalFormatting sqref="F440">
    <cfRule type="cellIs" dxfId="241" priority="760" operator="greaterThanOrEqual">
      <formula>0</formula>
    </cfRule>
  </conditionalFormatting>
  <conditionalFormatting sqref="F440">
    <cfRule type="cellIs" dxfId="240" priority="761" operator="lessThan">
      <formula>-4100</formula>
    </cfRule>
  </conditionalFormatting>
  <conditionalFormatting sqref="F440">
    <cfRule type="cellIs" dxfId="239" priority="762" operator="greaterThanOrEqual">
      <formula>0</formula>
    </cfRule>
  </conditionalFormatting>
  <conditionalFormatting sqref="F440">
    <cfRule type="cellIs" dxfId="238" priority="763" operator="lessThan">
      <formula>-4100</formula>
    </cfRule>
  </conditionalFormatting>
  <conditionalFormatting sqref="F440">
    <cfRule type="cellIs" dxfId="237" priority="764" operator="greaterThanOrEqual">
      <formula>0</formula>
    </cfRule>
  </conditionalFormatting>
  <conditionalFormatting sqref="F440">
    <cfRule type="cellIs" dxfId="236" priority="765" operator="lessThan">
      <formula>-4100</formula>
    </cfRule>
  </conditionalFormatting>
  <conditionalFormatting sqref="F440">
    <cfRule type="cellIs" dxfId="235" priority="766" operator="greaterThanOrEqual">
      <formula>0</formula>
    </cfRule>
  </conditionalFormatting>
  <conditionalFormatting sqref="F440">
    <cfRule type="cellIs" dxfId="234" priority="767" operator="lessThan">
      <formula>-4100</formula>
    </cfRule>
  </conditionalFormatting>
  <conditionalFormatting sqref="F440">
    <cfRule type="cellIs" dxfId="233" priority="768" operator="greaterThanOrEqual">
      <formula>0</formula>
    </cfRule>
  </conditionalFormatting>
  <conditionalFormatting sqref="F440">
    <cfRule type="cellIs" dxfId="232" priority="769" operator="lessThan">
      <formula>-4100</formula>
    </cfRule>
  </conditionalFormatting>
  <conditionalFormatting sqref="E440">
    <cfRule type="cellIs" dxfId="231" priority="770" operator="greaterThan">
      <formula>0</formula>
    </cfRule>
  </conditionalFormatting>
  <conditionalFormatting sqref="F375">
    <cfRule type="cellIs" dxfId="230" priority="745" operator="lessThan">
      <formula>-4100</formula>
    </cfRule>
  </conditionalFormatting>
  <conditionalFormatting sqref="F375">
    <cfRule type="cellIs" dxfId="229" priority="746" operator="greaterThanOrEqual">
      <formula>0</formula>
    </cfRule>
  </conditionalFormatting>
  <conditionalFormatting sqref="F375">
    <cfRule type="cellIs" dxfId="228" priority="747" operator="greaterThanOrEqual">
      <formula>0</formula>
    </cfRule>
  </conditionalFormatting>
  <conditionalFormatting sqref="F375">
    <cfRule type="cellIs" dxfId="227" priority="748" operator="lessThan">
      <formula>-4100</formula>
    </cfRule>
  </conditionalFormatting>
  <conditionalFormatting sqref="F375">
    <cfRule type="cellIs" dxfId="226" priority="749" operator="greaterThanOrEqual">
      <formula>0</formula>
    </cfRule>
  </conditionalFormatting>
  <conditionalFormatting sqref="F375">
    <cfRule type="cellIs" dxfId="225" priority="750" operator="lessThan">
      <formula>-4100</formula>
    </cfRule>
  </conditionalFormatting>
  <conditionalFormatting sqref="F375">
    <cfRule type="cellIs" dxfId="224" priority="751" operator="greaterThanOrEqual">
      <formula>0</formula>
    </cfRule>
  </conditionalFormatting>
  <conditionalFormatting sqref="F375">
    <cfRule type="cellIs" dxfId="223" priority="752" operator="lessThan">
      <formula>-4100</formula>
    </cfRule>
  </conditionalFormatting>
  <conditionalFormatting sqref="E375">
    <cfRule type="cellIs" dxfId="222" priority="753" operator="greaterThan">
      <formula>0</formula>
    </cfRule>
  </conditionalFormatting>
  <conditionalFormatting sqref="F435">
    <cfRule type="cellIs" dxfId="221" priority="711" operator="greaterThanOrEqual">
      <formula>0</formula>
    </cfRule>
  </conditionalFormatting>
  <conditionalFormatting sqref="F435">
    <cfRule type="cellIs" dxfId="220" priority="712" operator="lessThan">
      <formula>-4100</formula>
    </cfRule>
  </conditionalFormatting>
  <conditionalFormatting sqref="F435">
    <cfRule type="cellIs" dxfId="219" priority="713" operator="greaterThanOrEqual">
      <formula>0</formula>
    </cfRule>
  </conditionalFormatting>
  <conditionalFormatting sqref="F435">
    <cfRule type="cellIs" dxfId="218" priority="714" operator="lessThan">
      <formula>-4100</formula>
    </cfRule>
  </conditionalFormatting>
  <conditionalFormatting sqref="F435">
    <cfRule type="cellIs" dxfId="217" priority="715" operator="greaterThanOrEqual">
      <formula>0</formula>
    </cfRule>
  </conditionalFormatting>
  <conditionalFormatting sqref="F435">
    <cfRule type="cellIs" dxfId="216" priority="716" operator="lessThan">
      <formula>-4100</formula>
    </cfRule>
  </conditionalFormatting>
  <conditionalFormatting sqref="F435">
    <cfRule type="cellIs" dxfId="215" priority="717" operator="greaterThanOrEqual">
      <formula>0</formula>
    </cfRule>
  </conditionalFormatting>
  <conditionalFormatting sqref="F435">
    <cfRule type="cellIs" dxfId="214" priority="718" operator="lessThan">
      <formula>-4100</formula>
    </cfRule>
  </conditionalFormatting>
  <conditionalFormatting sqref="F435">
    <cfRule type="cellIs" dxfId="213" priority="719" operator="greaterThanOrEqual">
      <formula>0</formula>
    </cfRule>
  </conditionalFormatting>
  <conditionalFormatting sqref="F435">
    <cfRule type="cellIs" dxfId="212" priority="720" operator="lessThan">
      <formula>-4100</formula>
    </cfRule>
  </conditionalFormatting>
  <conditionalFormatting sqref="F435">
    <cfRule type="cellIs" dxfId="211" priority="721" operator="greaterThanOrEqual">
      <formula>0</formula>
    </cfRule>
  </conditionalFormatting>
  <conditionalFormatting sqref="F435">
    <cfRule type="cellIs" dxfId="210" priority="722" operator="lessThan">
      <formula>-4100</formula>
    </cfRule>
  </conditionalFormatting>
  <conditionalFormatting sqref="F435">
    <cfRule type="cellIs" dxfId="209" priority="723" operator="greaterThanOrEqual">
      <formula>0</formula>
    </cfRule>
  </conditionalFormatting>
  <conditionalFormatting sqref="F435">
    <cfRule type="cellIs" dxfId="208" priority="724" operator="lessThan">
      <formula>-4100</formula>
    </cfRule>
  </conditionalFormatting>
  <conditionalFormatting sqref="F435">
    <cfRule type="cellIs" dxfId="207" priority="725" operator="greaterThanOrEqual">
      <formula>0</formula>
    </cfRule>
  </conditionalFormatting>
  <conditionalFormatting sqref="F435">
    <cfRule type="cellIs" dxfId="206" priority="726" operator="lessThan">
      <formula>-4100</formula>
    </cfRule>
  </conditionalFormatting>
  <conditionalFormatting sqref="E435">
    <cfRule type="cellIs" dxfId="205" priority="727" operator="greaterThan">
      <formula>0</formula>
    </cfRule>
  </conditionalFormatting>
  <conditionalFormatting sqref="F89">
    <cfRule type="cellIs" dxfId="204" priority="591" operator="lessThan">
      <formula>-4100</formula>
    </cfRule>
  </conditionalFormatting>
  <conditionalFormatting sqref="F89">
    <cfRule type="cellIs" dxfId="203" priority="592" operator="greaterThanOrEqual">
      <formula>0</formula>
    </cfRule>
  </conditionalFormatting>
  <conditionalFormatting sqref="F89">
    <cfRule type="cellIs" dxfId="202" priority="593" operator="greaterThanOrEqual">
      <formula>0</formula>
    </cfRule>
  </conditionalFormatting>
  <conditionalFormatting sqref="F89">
    <cfRule type="cellIs" dxfId="201" priority="594" operator="lessThan">
      <formula>-4100</formula>
    </cfRule>
  </conditionalFormatting>
  <conditionalFormatting sqref="F89">
    <cfRule type="cellIs" dxfId="200" priority="595" operator="greaterThanOrEqual">
      <formula>0</formula>
    </cfRule>
  </conditionalFormatting>
  <conditionalFormatting sqref="F89">
    <cfRule type="cellIs" dxfId="199" priority="596" operator="lessThan">
      <formula>-4100</formula>
    </cfRule>
  </conditionalFormatting>
  <conditionalFormatting sqref="F89">
    <cfRule type="cellIs" dxfId="198" priority="597" operator="greaterThanOrEqual">
      <formula>0</formula>
    </cfRule>
  </conditionalFormatting>
  <conditionalFormatting sqref="F89">
    <cfRule type="cellIs" dxfId="197" priority="598" operator="lessThan">
      <formula>-4100</formula>
    </cfRule>
  </conditionalFormatting>
  <conditionalFormatting sqref="F89">
    <cfRule type="cellIs" dxfId="196" priority="599" operator="greaterThanOrEqual">
      <formula>0</formula>
    </cfRule>
  </conditionalFormatting>
  <conditionalFormatting sqref="F89">
    <cfRule type="cellIs" dxfId="195" priority="600" operator="lessThan">
      <formula>-4100</formula>
    </cfRule>
  </conditionalFormatting>
  <conditionalFormatting sqref="F89">
    <cfRule type="cellIs" dxfId="194" priority="601" operator="lessThan">
      <formula>-4100</formula>
    </cfRule>
  </conditionalFormatting>
  <conditionalFormatting sqref="F89">
    <cfRule type="cellIs" dxfId="193" priority="602" operator="greaterThanOrEqual">
      <formula>0</formula>
    </cfRule>
  </conditionalFormatting>
  <conditionalFormatting sqref="F89">
    <cfRule type="cellIs" dxfId="192" priority="603" operator="greaterThanOrEqual">
      <formula>0</formula>
    </cfRule>
  </conditionalFormatting>
  <conditionalFormatting sqref="F89">
    <cfRule type="cellIs" dxfId="191" priority="604" operator="lessThan">
      <formula>-4100</formula>
    </cfRule>
  </conditionalFormatting>
  <conditionalFormatting sqref="F89">
    <cfRule type="cellIs" dxfId="190" priority="605" operator="greaterThanOrEqual">
      <formula>0</formula>
    </cfRule>
  </conditionalFormatting>
  <conditionalFormatting sqref="F89">
    <cfRule type="cellIs" dxfId="189" priority="606" operator="lessThan">
      <formula>-4100</formula>
    </cfRule>
  </conditionalFormatting>
  <conditionalFormatting sqref="E89">
    <cfRule type="cellIs" dxfId="188" priority="607" operator="greaterThan">
      <formula>0</formula>
    </cfRule>
  </conditionalFormatting>
  <conditionalFormatting sqref="F365">
    <cfRule type="cellIs" dxfId="187" priority="496" operator="lessThan">
      <formula>-4100</formula>
    </cfRule>
  </conditionalFormatting>
  <conditionalFormatting sqref="F365">
    <cfRule type="cellIs" dxfId="186" priority="497" operator="greaterThanOrEqual">
      <formula>0</formula>
    </cfRule>
  </conditionalFormatting>
  <conditionalFormatting sqref="F365">
    <cfRule type="cellIs" dxfId="185" priority="498" operator="greaterThanOrEqual">
      <formula>0</formula>
    </cfRule>
  </conditionalFormatting>
  <conditionalFormatting sqref="F365">
    <cfRule type="cellIs" dxfId="184" priority="499" operator="lessThan">
      <formula>-4100</formula>
    </cfRule>
  </conditionalFormatting>
  <conditionalFormatting sqref="F365">
    <cfRule type="cellIs" dxfId="183" priority="500" operator="greaterThanOrEqual">
      <formula>0</formula>
    </cfRule>
  </conditionalFormatting>
  <conditionalFormatting sqref="F365">
    <cfRule type="cellIs" dxfId="182" priority="501" operator="lessThan">
      <formula>-4100</formula>
    </cfRule>
  </conditionalFormatting>
  <conditionalFormatting sqref="F365">
    <cfRule type="cellIs" dxfId="181" priority="502" operator="greaterThanOrEqual">
      <formula>0</formula>
    </cfRule>
  </conditionalFormatting>
  <conditionalFormatting sqref="F365">
    <cfRule type="cellIs" dxfId="180" priority="503" operator="lessThan">
      <formula>-4100</formula>
    </cfRule>
  </conditionalFormatting>
  <conditionalFormatting sqref="E365">
    <cfRule type="cellIs" dxfId="179" priority="504" operator="greaterThan">
      <formula>0</formula>
    </cfRule>
  </conditionalFormatting>
  <conditionalFormatting sqref="F430">
    <cfRule type="cellIs" dxfId="178" priority="436" operator="greaterThanOrEqual">
      <formula>0</formula>
    </cfRule>
  </conditionalFormatting>
  <conditionalFormatting sqref="F430">
    <cfRule type="cellIs" dxfId="177" priority="437" operator="lessThan">
      <formula>-4100</formula>
    </cfRule>
  </conditionalFormatting>
  <conditionalFormatting sqref="F430">
    <cfRule type="cellIs" dxfId="176" priority="438" operator="greaterThanOrEqual">
      <formula>0</formula>
    </cfRule>
  </conditionalFormatting>
  <conditionalFormatting sqref="F430">
    <cfRule type="cellIs" dxfId="175" priority="439" operator="lessThan">
      <formula>-4100</formula>
    </cfRule>
  </conditionalFormatting>
  <conditionalFormatting sqref="F430">
    <cfRule type="cellIs" dxfId="174" priority="440" operator="greaterThanOrEqual">
      <formula>0</formula>
    </cfRule>
  </conditionalFormatting>
  <conditionalFormatting sqref="F430">
    <cfRule type="cellIs" dxfId="173" priority="441" operator="lessThan">
      <formula>-4100</formula>
    </cfRule>
  </conditionalFormatting>
  <conditionalFormatting sqref="F430">
    <cfRule type="cellIs" dxfId="172" priority="442" operator="greaterThanOrEqual">
      <formula>0</formula>
    </cfRule>
  </conditionalFormatting>
  <conditionalFormatting sqref="F430">
    <cfRule type="cellIs" dxfId="171" priority="443" operator="lessThan">
      <formula>-4100</formula>
    </cfRule>
  </conditionalFormatting>
  <conditionalFormatting sqref="F430">
    <cfRule type="cellIs" dxfId="170" priority="444" operator="greaterThanOrEqual">
      <formula>0</formula>
    </cfRule>
  </conditionalFormatting>
  <conditionalFormatting sqref="F430">
    <cfRule type="cellIs" dxfId="169" priority="445" operator="lessThan">
      <formula>-4100</formula>
    </cfRule>
  </conditionalFormatting>
  <conditionalFormatting sqref="F430">
    <cfRule type="cellIs" dxfId="168" priority="446" operator="greaterThanOrEqual">
      <formula>0</formula>
    </cfRule>
  </conditionalFormatting>
  <conditionalFormatting sqref="F430">
    <cfRule type="cellIs" dxfId="167" priority="447" operator="lessThan">
      <formula>-4100</formula>
    </cfRule>
  </conditionalFormatting>
  <conditionalFormatting sqref="F430">
    <cfRule type="cellIs" dxfId="166" priority="448" operator="greaterThanOrEqual">
      <formula>0</formula>
    </cfRule>
  </conditionalFormatting>
  <conditionalFormatting sqref="F430">
    <cfRule type="cellIs" dxfId="165" priority="449" operator="lessThan">
      <formula>-4100</formula>
    </cfRule>
  </conditionalFormatting>
  <conditionalFormatting sqref="F430">
    <cfRule type="cellIs" dxfId="164" priority="450" operator="greaterThanOrEqual">
      <formula>0</formula>
    </cfRule>
  </conditionalFormatting>
  <conditionalFormatting sqref="F430">
    <cfRule type="cellIs" dxfId="163" priority="451" operator="lessThan">
      <formula>-4100</formula>
    </cfRule>
  </conditionalFormatting>
  <conditionalFormatting sqref="E430">
    <cfRule type="cellIs" dxfId="162" priority="452" operator="greaterThan">
      <formula>0</formula>
    </cfRule>
  </conditionalFormatting>
  <conditionalFormatting sqref="F94">
    <cfRule type="cellIs" dxfId="161" priority="385" operator="lessThan">
      <formula>-4100</formula>
    </cfRule>
  </conditionalFormatting>
  <conditionalFormatting sqref="F94">
    <cfRule type="cellIs" dxfId="160" priority="386" operator="greaterThanOrEqual">
      <formula>0</formula>
    </cfRule>
  </conditionalFormatting>
  <conditionalFormatting sqref="F94">
    <cfRule type="cellIs" dxfId="159" priority="387" operator="greaterThanOrEqual">
      <formula>0</formula>
    </cfRule>
  </conditionalFormatting>
  <conditionalFormatting sqref="F94">
    <cfRule type="cellIs" dxfId="158" priority="388" operator="lessThan">
      <formula>-4100</formula>
    </cfRule>
  </conditionalFormatting>
  <conditionalFormatting sqref="F94">
    <cfRule type="cellIs" dxfId="157" priority="389" operator="greaterThanOrEqual">
      <formula>0</formula>
    </cfRule>
  </conditionalFormatting>
  <conditionalFormatting sqref="F94">
    <cfRule type="cellIs" dxfId="156" priority="390" operator="lessThan">
      <formula>-4100</formula>
    </cfRule>
  </conditionalFormatting>
  <conditionalFormatting sqref="F94">
    <cfRule type="cellIs" dxfId="155" priority="391" operator="greaterThanOrEqual">
      <formula>0</formula>
    </cfRule>
  </conditionalFormatting>
  <conditionalFormatting sqref="F94">
    <cfRule type="cellIs" dxfId="154" priority="392" operator="lessThan">
      <formula>-4100</formula>
    </cfRule>
  </conditionalFormatting>
  <conditionalFormatting sqref="F94">
    <cfRule type="cellIs" dxfId="153" priority="393" operator="greaterThanOrEqual">
      <formula>0</formula>
    </cfRule>
  </conditionalFormatting>
  <conditionalFormatting sqref="F94">
    <cfRule type="cellIs" dxfId="152" priority="394" operator="lessThan">
      <formula>-4100</formula>
    </cfRule>
  </conditionalFormatting>
  <conditionalFormatting sqref="F94">
    <cfRule type="cellIs" dxfId="151" priority="395" operator="lessThan">
      <formula>-4100</formula>
    </cfRule>
  </conditionalFormatting>
  <conditionalFormatting sqref="F94">
    <cfRule type="cellIs" dxfId="150" priority="396" operator="greaterThanOrEqual">
      <formula>0</formula>
    </cfRule>
  </conditionalFormatting>
  <conditionalFormatting sqref="F94">
    <cfRule type="cellIs" dxfId="149" priority="397" operator="greaterThanOrEqual">
      <formula>0</formula>
    </cfRule>
  </conditionalFormatting>
  <conditionalFormatting sqref="F94">
    <cfRule type="cellIs" dxfId="148" priority="398" operator="lessThan">
      <formula>-4100</formula>
    </cfRule>
  </conditionalFormatting>
  <conditionalFormatting sqref="F94">
    <cfRule type="cellIs" dxfId="147" priority="399" operator="greaterThanOrEqual">
      <formula>0</formula>
    </cfRule>
  </conditionalFormatting>
  <conditionalFormatting sqref="F94">
    <cfRule type="cellIs" dxfId="146" priority="400" operator="lessThan">
      <formula>-4100</formula>
    </cfRule>
  </conditionalFormatting>
  <conditionalFormatting sqref="E94">
    <cfRule type="cellIs" dxfId="145" priority="401" operator="greaterThan">
      <formula>0</formula>
    </cfRule>
  </conditionalFormatting>
  <conditionalFormatting sqref="F99">
    <cfRule type="cellIs" dxfId="144" priority="368" operator="lessThan">
      <formula>-4100</formula>
    </cfRule>
  </conditionalFormatting>
  <conditionalFormatting sqref="F99">
    <cfRule type="cellIs" dxfId="143" priority="369" operator="greaterThanOrEqual">
      <formula>0</formula>
    </cfRule>
  </conditionalFormatting>
  <conditionalFormatting sqref="F99">
    <cfRule type="cellIs" dxfId="142" priority="370" operator="greaterThanOrEqual">
      <formula>0</formula>
    </cfRule>
  </conditionalFormatting>
  <conditionalFormatting sqref="F99">
    <cfRule type="cellIs" dxfId="141" priority="371" operator="lessThan">
      <formula>-4100</formula>
    </cfRule>
  </conditionalFormatting>
  <conditionalFormatting sqref="F99">
    <cfRule type="cellIs" dxfId="140" priority="372" operator="greaterThanOrEqual">
      <formula>0</formula>
    </cfRule>
  </conditionalFormatting>
  <conditionalFormatting sqref="F99">
    <cfRule type="cellIs" dxfId="139" priority="373" operator="lessThan">
      <formula>-4100</formula>
    </cfRule>
  </conditionalFormatting>
  <conditionalFormatting sqref="F99">
    <cfRule type="cellIs" dxfId="138" priority="374" operator="greaterThanOrEqual">
      <formula>0</formula>
    </cfRule>
  </conditionalFormatting>
  <conditionalFormatting sqref="F99">
    <cfRule type="cellIs" dxfId="137" priority="375" operator="lessThan">
      <formula>-4100</formula>
    </cfRule>
  </conditionalFormatting>
  <conditionalFormatting sqref="F99">
    <cfRule type="cellIs" dxfId="136" priority="376" operator="greaterThanOrEqual">
      <formula>0</formula>
    </cfRule>
  </conditionalFormatting>
  <conditionalFormatting sqref="F99">
    <cfRule type="cellIs" dxfId="135" priority="377" operator="lessThan">
      <formula>-4100</formula>
    </cfRule>
  </conditionalFormatting>
  <conditionalFormatting sqref="F99">
    <cfRule type="cellIs" dxfId="134" priority="378" operator="lessThan">
      <formula>-4100</formula>
    </cfRule>
  </conditionalFormatting>
  <conditionalFormatting sqref="F99">
    <cfRule type="cellIs" dxfId="133" priority="379" operator="greaterThanOrEqual">
      <formula>0</formula>
    </cfRule>
  </conditionalFormatting>
  <conditionalFormatting sqref="F99">
    <cfRule type="cellIs" dxfId="132" priority="380" operator="greaterThanOrEqual">
      <formula>0</formula>
    </cfRule>
  </conditionalFormatting>
  <conditionalFormatting sqref="F99">
    <cfRule type="cellIs" dxfId="131" priority="381" operator="lessThan">
      <formula>-4100</formula>
    </cfRule>
  </conditionalFormatting>
  <conditionalFormatting sqref="F99">
    <cfRule type="cellIs" dxfId="130" priority="382" operator="greaterThanOrEqual">
      <formula>0</formula>
    </cfRule>
  </conditionalFormatting>
  <conditionalFormatting sqref="F99">
    <cfRule type="cellIs" dxfId="129" priority="383" operator="lessThan">
      <formula>-4100</formula>
    </cfRule>
  </conditionalFormatting>
  <conditionalFormatting sqref="E99">
    <cfRule type="cellIs" dxfId="128" priority="384" operator="greaterThan">
      <formula>0</formula>
    </cfRule>
  </conditionalFormatting>
  <conditionalFormatting sqref="F54">
    <cfRule type="cellIs" dxfId="127" priority="300" operator="lessThan">
      <formula>-4100</formula>
    </cfRule>
  </conditionalFormatting>
  <conditionalFormatting sqref="F54">
    <cfRule type="cellIs" dxfId="126" priority="301" operator="greaterThanOrEqual">
      <formula>0</formula>
    </cfRule>
  </conditionalFormatting>
  <conditionalFormatting sqref="F54">
    <cfRule type="cellIs" dxfId="125" priority="302" operator="greaterThanOrEqual">
      <formula>0</formula>
    </cfRule>
  </conditionalFormatting>
  <conditionalFormatting sqref="F54">
    <cfRule type="cellIs" dxfId="124" priority="303" operator="lessThan">
      <formula>-4100</formula>
    </cfRule>
  </conditionalFormatting>
  <conditionalFormatting sqref="F54">
    <cfRule type="cellIs" dxfId="123" priority="304" operator="greaterThanOrEqual">
      <formula>0</formula>
    </cfRule>
  </conditionalFormatting>
  <conditionalFormatting sqref="F54">
    <cfRule type="cellIs" dxfId="122" priority="305" operator="lessThan">
      <formula>-4100</formula>
    </cfRule>
  </conditionalFormatting>
  <conditionalFormatting sqref="F54">
    <cfRule type="cellIs" dxfId="121" priority="306" operator="greaterThanOrEqual">
      <formula>0</formula>
    </cfRule>
  </conditionalFormatting>
  <conditionalFormatting sqref="F54">
    <cfRule type="cellIs" dxfId="120" priority="307" operator="lessThan">
      <formula>-4100</formula>
    </cfRule>
  </conditionalFormatting>
  <conditionalFormatting sqref="F54">
    <cfRule type="cellIs" dxfId="119" priority="308" operator="greaterThanOrEqual">
      <formula>0</formula>
    </cfRule>
  </conditionalFormatting>
  <conditionalFormatting sqref="F54">
    <cfRule type="cellIs" dxfId="118" priority="309" operator="lessThan">
      <formula>-4100</formula>
    </cfRule>
  </conditionalFormatting>
  <conditionalFormatting sqref="F54">
    <cfRule type="cellIs" dxfId="117" priority="310" operator="lessThan">
      <formula>-4100</formula>
    </cfRule>
  </conditionalFormatting>
  <conditionalFormatting sqref="F54">
    <cfRule type="cellIs" dxfId="116" priority="311" operator="greaterThanOrEqual">
      <formula>0</formula>
    </cfRule>
  </conditionalFormatting>
  <conditionalFormatting sqref="F54">
    <cfRule type="cellIs" dxfId="115" priority="312" operator="greaterThanOrEqual">
      <formula>0</formula>
    </cfRule>
  </conditionalFormatting>
  <conditionalFormatting sqref="F54">
    <cfRule type="cellIs" dxfId="114" priority="313" operator="lessThan">
      <formula>-4100</formula>
    </cfRule>
  </conditionalFormatting>
  <conditionalFormatting sqref="F54">
    <cfRule type="cellIs" dxfId="113" priority="314" operator="greaterThanOrEqual">
      <formula>0</formula>
    </cfRule>
  </conditionalFormatting>
  <conditionalFormatting sqref="F54">
    <cfRule type="cellIs" dxfId="112" priority="315" operator="lessThan">
      <formula>-4100</formula>
    </cfRule>
  </conditionalFormatting>
  <conditionalFormatting sqref="E54">
    <cfRule type="cellIs" dxfId="111" priority="316" operator="greaterThan">
      <formula>0</formula>
    </cfRule>
  </conditionalFormatting>
  <conditionalFormatting sqref="F295">
    <cfRule type="cellIs" dxfId="110" priority="142" operator="lessThan">
      <formula>-4100</formula>
    </cfRule>
  </conditionalFormatting>
  <conditionalFormatting sqref="F295">
    <cfRule type="cellIs" dxfId="109" priority="143" operator="greaterThanOrEqual">
      <formula>0</formula>
    </cfRule>
  </conditionalFormatting>
  <conditionalFormatting sqref="F295">
    <cfRule type="cellIs" dxfId="108" priority="129" operator="greaterThanOrEqual">
      <formula>0</formula>
    </cfRule>
  </conditionalFormatting>
  <conditionalFormatting sqref="F295">
    <cfRule type="cellIs" dxfId="107" priority="130" operator="lessThan">
      <formula>-4100</formula>
    </cfRule>
  </conditionalFormatting>
  <conditionalFormatting sqref="F295">
    <cfRule type="cellIs" dxfId="106" priority="131" operator="greaterThanOrEqual">
      <formula>0</formula>
    </cfRule>
  </conditionalFormatting>
  <conditionalFormatting sqref="F295">
    <cfRule type="cellIs" dxfId="105" priority="132" operator="lessThan">
      <formula>-4100</formula>
    </cfRule>
  </conditionalFormatting>
  <conditionalFormatting sqref="F295">
    <cfRule type="cellIs" dxfId="104" priority="133" operator="greaterThanOrEqual">
      <formula>0</formula>
    </cfRule>
  </conditionalFormatting>
  <conditionalFormatting sqref="F295">
    <cfRule type="cellIs" dxfId="103" priority="134" operator="lessThan">
      <formula>-4100</formula>
    </cfRule>
  </conditionalFormatting>
  <conditionalFormatting sqref="F295">
    <cfRule type="cellIs" dxfId="102" priority="135" operator="greaterThanOrEqual">
      <formula>0</formula>
    </cfRule>
  </conditionalFormatting>
  <conditionalFormatting sqref="F295">
    <cfRule type="cellIs" dxfId="101" priority="136" operator="lessThan">
      <formula>-4100</formula>
    </cfRule>
  </conditionalFormatting>
  <conditionalFormatting sqref="E295">
    <cfRule type="cellIs" dxfId="100" priority="137" operator="greaterThan">
      <formula>0</formula>
    </cfRule>
  </conditionalFormatting>
  <conditionalFormatting sqref="F295">
    <cfRule type="cellIs" dxfId="99" priority="138" operator="greaterThanOrEqual">
      <formula>0</formula>
    </cfRule>
  </conditionalFormatting>
  <conditionalFormatting sqref="F295">
    <cfRule type="cellIs" dxfId="98" priority="139" operator="lessThan">
      <formula>-4100</formula>
    </cfRule>
  </conditionalFormatting>
  <conditionalFormatting sqref="F295">
    <cfRule type="cellIs" dxfId="97" priority="140" operator="greaterThanOrEqual">
      <formula>0</formula>
    </cfRule>
  </conditionalFormatting>
  <conditionalFormatting sqref="F295">
    <cfRule type="cellIs" dxfId="96" priority="141" operator="lessThan">
      <formula>-4100</formula>
    </cfRule>
  </conditionalFormatting>
  <conditionalFormatting sqref="F295">
    <cfRule type="cellIs" dxfId="95" priority="144" operator="greaterThanOrEqual">
      <formula>0</formula>
    </cfRule>
  </conditionalFormatting>
  <conditionalFormatting sqref="F295">
    <cfRule type="cellIs" dxfId="94" priority="145" operator="lessThan">
      <formula>-4100</formula>
    </cfRule>
  </conditionalFormatting>
  <conditionalFormatting sqref="F425">
    <cfRule type="cellIs" dxfId="93" priority="112" operator="greaterThanOrEqual">
      <formula>0</formula>
    </cfRule>
  </conditionalFormatting>
  <conditionalFormatting sqref="F425">
    <cfRule type="cellIs" dxfId="92" priority="113" operator="lessThan">
      <formula>-4100</formula>
    </cfRule>
  </conditionalFormatting>
  <conditionalFormatting sqref="F425">
    <cfRule type="cellIs" dxfId="91" priority="114" operator="greaterThanOrEqual">
      <formula>0</formula>
    </cfRule>
  </conditionalFormatting>
  <conditionalFormatting sqref="F425">
    <cfRule type="cellIs" dxfId="90" priority="115" operator="lessThan">
      <formula>-4100</formula>
    </cfRule>
  </conditionalFormatting>
  <conditionalFormatting sqref="F425">
    <cfRule type="cellIs" dxfId="89" priority="116" operator="greaterThanOrEqual">
      <formula>0</formula>
    </cfRule>
  </conditionalFormatting>
  <conditionalFormatting sqref="F425">
    <cfRule type="cellIs" dxfId="88" priority="117" operator="lessThan">
      <formula>-4100</formula>
    </cfRule>
  </conditionalFormatting>
  <conditionalFormatting sqref="F425">
    <cfRule type="cellIs" dxfId="87" priority="118" operator="greaterThanOrEqual">
      <formula>0</formula>
    </cfRule>
  </conditionalFormatting>
  <conditionalFormatting sqref="F425">
    <cfRule type="cellIs" dxfId="86" priority="119" operator="lessThan">
      <formula>-4100</formula>
    </cfRule>
  </conditionalFormatting>
  <conditionalFormatting sqref="F425">
    <cfRule type="cellIs" dxfId="85" priority="120" operator="greaterThanOrEqual">
      <formula>0</formula>
    </cfRule>
  </conditionalFormatting>
  <conditionalFormatting sqref="F425">
    <cfRule type="cellIs" dxfId="84" priority="121" operator="lessThan">
      <formula>-4100</formula>
    </cfRule>
  </conditionalFormatting>
  <conditionalFormatting sqref="F425">
    <cfRule type="cellIs" dxfId="83" priority="122" operator="greaterThanOrEqual">
      <formula>0</formula>
    </cfRule>
  </conditionalFormatting>
  <conditionalFormatting sqref="F425">
    <cfRule type="cellIs" dxfId="82" priority="123" operator="lessThan">
      <formula>-4100</formula>
    </cfRule>
  </conditionalFormatting>
  <conditionalFormatting sqref="F425">
    <cfRule type="cellIs" dxfId="81" priority="124" operator="greaterThanOrEqual">
      <formula>0</formula>
    </cfRule>
  </conditionalFormatting>
  <conditionalFormatting sqref="F425">
    <cfRule type="cellIs" dxfId="80" priority="125" operator="lessThan">
      <formula>-4100</formula>
    </cfRule>
  </conditionalFormatting>
  <conditionalFormatting sqref="F425">
    <cfRule type="cellIs" dxfId="79" priority="126" operator="greaterThanOrEqual">
      <formula>0</formula>
    </cfRule>
  </conditionalFormatting>
  <conditionalFormatting sqref="F425">
    <cfRule type="cellIs" dxfId="78" priority="127" operator="lessThan">
      <formula>-4100</formula>
    </cfRule>
  </conditionalFormatting>
  <conditionalFormatting sqref="E425">
    <cfRule type="cellIs" dxfId="77" priority="128" operator="greaterThan">
      <formula>0</formula>
    </cfRule>
  </conditionalFormatting>
  <conditionalFormatting sqref="F104">
    <cfRule type="cellIs" dxfId="76" priority="95" operator="lessThan">
      <formula>-4100</formula>
    </cfRule>
  </conditionalFormatting>
  <conditionalFormatting sqref="F104">
    <cfRule type="cellIs" dxfId="75" priority="96" operator="greaterThanOrEqual">
      <formula>0</formula>
    </cfRule>
  </conditionalFormatting>
  <conditionalFormatting sqref="F104">
    <cfRule type="cellIs" dxfId="74" priority="97" operator="greaterThanOrEqual">
      <formula>0</formula>
    </cfRule>
  </conditionalFormatting>
  <conditionalFormatting sqref="F104">
    <cfRule type="cellIs" dxfId="73" priority="98" operator="lessThan">
      <formula>-4100</formula>
    </cfRule>
  </conditionalFormatting>
  <conditionalFormatting sqref="F104">
    <cfRule type="cellIs" dxfId="72" priority="99" operator="greaterThanOrEqual">
      <formula>0</formula>
    </cfRule>
  </conditionalFormatting>
  <conditionalFormatting sqref="F104">
    <cfRule type="cellIs" dxfId="71" priority="100" operator="lessThan">
      <formula>-4100</formula>
    </cfRule>
  </conditionalFormatting>
  <conditionalFormatting sqref="F104">
    <cfRule type="cellIs" dxfId="70" priority="101" operator="greaterThanOrEqual">
      <formula>0</formula>
    </cfRule>
  </conditionalFormatting>
  <conditionalFormatting sqref="F104">
    <cfRule type="cellIs" dxfId="69" priority="102" operator="lessThan">
      <formula>-4100</formula>
    </cfRule>
  </conditionalFormatting>
  <conditionalFormatting sqref="F104">
    <cfRule type="cellIs" dxfId="68" priority="103" operator="greaterThanOrEqual">
      <formula>0</formula>
    </cfRule>
  </conditionalFormatting>
  <conditionalFormatting sqref="F104">
    <cfRule type="cellIs" dxfId="67" priority="104" operator="lessThan">
      <formula>-4100</formula>
    </cfRule>
  </conditionalFormatting>
  <conditionalFormatting sqref="F104">
    <cfRule type="cellIs" dxfId="66" priority="105" operator="lessThan">
      <formula>-4100</formula>
    </cfRule>
  </conditionalFormatting>
  <conditionalFormatting sqref="F104">
    <cfRule type="cellIs" dxfId="65" priority="106" operator="greaterThanOrEqual">
      <formula>0</formula>
    </cfRule>
  </conditionalFormatting>
  <conditionalFormatting sqref="F104">
    <cfRule type="cellIs" dxfId="64" priority="107" operator="greaterThanOrEqual">
      <formula>0</formula>
    </cfRule>
  </conditionalFormatting>
  <conditionalFormatting sqref="F104">
    <cfRule type="cellIs" dxfId="63" priority="108" operator="lessThan">
      <formula>-4100</formula>
    </cfRule>
  </conditionalFormatting>
  <conditionalFormatting sqref="F104">
    <cfRule type="cellIs" dxfId="62" priority="109" operator="greaterThanOrEqual">
      <formula>0</formula>
    </cfRule>
  </conditionalFormatting>
  <conditionalFormatting sqref="F104">
    <cfRule type="cellIs" dxfId="61" priority="110" operator="lessThan">
      <formula>-4100</formula>
    </cfRule>
  </conditionalFormatting>
  <conditionalFormatting sqref="E104">
    <cfRule type="cellIs" dxfId="60" priority="111" operator="greaterThan">
      <formula>0</formula>
    </cfRule>
  </conditionalFormatting>
  <conditionalFormatting sqref="F229">
    <cfRule type="cellIs" dxfId="59" priority="44" operator="lessThan">
      <formula>-4100</formula>
    </cfRule>
  </conditionalFormatting>
  <conditionalFormatting sqref="F229">
    <cfRule type="cellIs" dxfId="58" priority="45" operator="greaterThanOrEqual">
      <formula>0</formula>
    </cfRule>
  </conditionalFormatting>
  <conditionalFormatting sqref="F229">
    <cfRule type="cellIs" dxfId="57" priority="46" operator="greaterThanOrEqual">
      <formula>0</formula>
    </cfRule>
  </conditionalFormatting>
  <conditionalFormatting sqref="F229">
    <cfRule type="cellIs" dxfId="56" priority="47" operator="lessThan">
      <formula>-4100</formula>
    </cfRule>
  </conditionalFormatting>
  <conditionalFormatting sqref="F229">
    <cfRule type="cellIs" dxfId="55" priority="48" operator="greaterThanOrEqual">
      <formula>0</formula>
    </cfRule>
  </conditionalFormatting>
  <conditionalFormatting sqref="F229">
    <cfRule type="cellIs" dxfId="54" priority="49" operator="lessThan">
      <formula>-4100</formula>
    </cfRule>
  </conditionalFormatting>
  <conditionalFormatting sqref="F229">
    <cfRule type="cellIs" dxfId="53" priority="50" operator="greaterThanOrEqual">
      <formula>0</formula>
    </cfRule>
  </conditionalFormatting>
  <conditionalFormatting sqref="F229">
    <cfRule type="cellIs" dxfId="52" priority="51" operator="lessThan">
      <formula>-4100</formula>
    </cfRule>
  </conditionalFormatting>
  <conditionalFormatting sqref="F229">
    <cfRule type="cellIs" dxfId="51" priority="52" operator="greaterThanOrEqual">
      <formula>0</formula>
    </cfRule>
  </conditionalFormatting>
  <conditionalFormatting sqref="F229">
    <cfRule type="cellIs" dxfId="50" priority="53" operator="lessThan">
      <formula>-4100</formula>
    </cfRule>
  </conditionalFormatting>
  <conditionalFormatting sqref="F229">
    <cfRule type="cellIs" dxfId="49" priority="54" operator="lessThan">
      <formula>-4100</formula>
    </cfRule>
  </conditionalFormatting>
  <conditionalFormatting sqref="F229">
    <cfRule type="cellIs" dxfId="48" priority="55" operator="greaterThanOrEqual">
      <formula>0</formula>
    </cfRule>
  </conditionalFormatting>
  <conditionalFormatting sqref="F229">
    <cfRule type="cellIs" dxfId="47" priority="56" operator="greaterThanOrEqual">
      <formula>0</formula>
    </cfRule>
  </conditionalFormatting>
  <conditionalFormatting sqref="F229">
    <cfRule type="cellIs" dxfId="46" priority="57" operator="lessThan">
      <formula>-4100</formula>
    </cfRule>
  </conditionalFormatting>
  <conditionalFormatting sqref="F229">
    <cfRule type="cellIs" dxfId="45" priority="58" operator="greaterThanOrEqual">
      <formula>0</formula>
    </cfRule>
  </conditionalFormatting>
  <conditionalFormatting sqref="F229">
    <cfRule type="cellIs" dxfId="44" priority="59" operator="lessThan">
      <formula>-4100</formula>
    </cfRule>
  </conditionalFormatting>
  <conditionalFormatting sqref="E229">
    <cfRule type="cellIs" dxfId="43" priority="60" operator="greaterThan">
      <formula>0</formula>
    </cfRule>
  </conditionalFormatting>
  <conditionalFormatting sqref="F234">
    <cfRule type="cellIs" dxfId="42" priority="27" operator="lessThan">
      <formula>-4100</formula>
    </cfRule>
  </conditionalFormatting>
  <conditionalFormatting sqref="F234">
    <cfRule type="cellIs" dxfId="41" priority="28" operator="greaterThanOrEqual">
      <formula>0</formula>
    </cfRule>
  </conditionalFormatting>
  <conditionalFormatting sqref="F234">
    <cfRule type="cellIs" dxfId="40" priority="29" operator="greaterThanOrEqual">
      <formula>0</formula>
    </cfRule>
  </conditionalFormatting>
  <conditionalFormatting sqref="F234">
    <cfRule type="cellIs" dxfId="39" priority="30" operator="lessThan">
      <formula>-4100</formula>
    </cfRule>
  </conditionalFormatting>
  <conditionalFormatting sqref="F234">
    <cfRule type="cellIs" dxfId="38" priority="31" operator="greaterThanOrEqual">
      <formula>0</formula>
    </cfRule>
  </conditionalFormatting>
  <conditionalFormatting sqref="F234">
    <cfRule type="cellIs" dxfId="37" priority="32" operator="lessThan">
      <formula>-4100</formula>
    </cfRule>
  </conditionalFormatting>
  <conditionalFormatting sqref="F234">
    <cfRule type="cellIs" dxfId="36" priority="33" operator="greaterThanOrEqual">
      <formula>0</formula>
    </cfRule>
  </conditionalFormatting>
  <conditionalFormatting sqref="F234">
    <cfRule type="cellIs" dxfId="35" priority="34" operator="lessThan">
      <formula>-4100</formula>
    </cfRule>
  </conditionalFormatting>
  <conditionalFormatting sqref="F234">
    <cfRule type="cellIs" dxfId="34" priority="35" operator="greaterThanOrEqual">
      <formula>0</formula>
    </cfRule>
  </conditionalFormatting>
  <conditionalFormatting sqref="F234">
    <cfRule type="cellIs" dxfId="33" priority="36" operator="lessThan">
      <formula>-4100</formula>
    </cfRule>
  </conditionalFormatting>
  <conditionalFormatting sqref="F234">
    <cfRule type="cellIs" dxfId="32" priority="37" operator="lessThan">
      <formula>-4100</formula>
    </cfRule>
  </conditionalFormatting>
  <conditionalFormatting sqref="F234">
    <cfRule type="cellIs" dxfId="31" priority="38" operator="greaterThanOrEqual">
      <formula>0</formula>
    </cfRule>
  </conditionalFormatting>
  <conditionalFormatting sqref="F234">
    <cfRule type="cellIs" dxfId="30" priority="39" operator="greaterThanOrEqual">
      <formula>0</formula>
    </cfRule>
  </conditionalFormatting>
  <conditionalFormatting sqref="F234">
    <cfRule type="cellIs" dxfId="29" priority="40" operator="lessThan">
      <formula>-4100</formula>
    </cfRule>
  </conditionalFormatting>
  <conditionalFormatting sqref="F234">
    <cfRule type="cellIs" dxfId="28" priority="41" operator="greaterThanOrEqual">
      <formula>0</formula>
    </cfRule>
  </conditionalFormatting>
  <conditionalFormatting sqref="F234">
    <cfRule type="cellIs" dxfId="27" priority="42" operator="lessThan">
      <formula>-4100</formula>
    </cfRule>
  </conditionalFormatting>
  <conditionalFormatting sqref="E234">
    <cfRule type="cellIs" dxfId="26" priority="43" operator="greaterThan">
      <formula>0</formula>
    </cfRule>
  </conditionalFormatting>
  <conditionalFormatting sqref="F370">
    <cfRule type="cellIs" dxfId="25" priority="18" operator="lessThan">
      <formula>-4100</formula>
    </cfRule>
  </conditionalFormatting>
  <conditionalFormatting sqref="F370">
    <cfRule type="cellIs" dxfId="24" priority="19" operator="greaterThanOrEqual">
      <formula>0</formula>
    </cfRule>
  </conditionalFormatting>
  <conditionalFormatting sqref="F370">
    <cfRule type="cellIs" dxfId="23" priority="20" operator="greaterThanOrEqual">
      <formula>0</formula>
    </cfRule>
  </conditionalFormatting>
  <conditionalFormatting sqref="F370">
    <cfRule type="cellIs" dxfId="22" priority="21" operator="lessThan">
      <formula>-4100</formula>
    </cfRule>
  </conditionalFormatting>
  <conditionalFormatting sqref="F370">
    <cfRule type="cellIs" dxfId="21" priority="22" operator="greaterThanOrEqual">
      <formula>0</formula>
    </cfRule>
  </conditionalFormatting>
  <conditionalFormatting sqref="F370">
    <cfRule type="cellIs" dxfId="20" priority="23" operator="lessThan">
      <formula>-4100</formula>
    </cfRule>
  </conditionalFormatting>
  <conditionalFormatting sqref="F370">
    <cfRule type="cellIs" dxfId="19" priority="24" operator="greaterThanOrEqual">
      <formula>0</formula>
    </cfRule>
  </conditionalFormatting>
  <conditionalFormatting sqref="F370">
    <cfRule type="cellIs" dxfId="18" priority="25" operator="lessThan">
      <formula>-4100</formula>
    </cfRule>
  </conditionalFormatting>
  <conditionalFormatting sqref="E370">
    <cfRule type="cellIs" dxfId="17" priority="26" operator="greaterThan">
      <formula>0</formula>
    </cfRule>
  </conditionalFormatting>
  <conditionalFormatting sqref="F24">
    <cfRule type="cellIs" dxfId="16" priority="1" operator="lessThan">
      <formula>-4100</formula>
    </cfRule>
  </conditionalFormatting>
  <conditionalFormatting sqref="F24">
    <cfRule type="cellIs" dxfId="15" priority="2" operator="greaterThanOrEqual">
      <formula>0</formula>
    </cfRule>
  </conditionalFormatting>
  <conditionalFormatting sqref="F24">
    <cfRule type="cellIs" dxfId="14" priority="3" operator="greaterThanOrEqual">
      <formula>0</formula>
    </cfRule>
  </conditionalFormatting>
  <conditionalFormatting sqref="F24">
    <cfRule type="cellIs" dxfId="13" priority="4" operator="lessThan">
      <formula>-4100</formula>
    </cfRule>
  </conditionalFormatting>
  <conditionalFormatting sqref="F24">
    <cfRule type="cellIs" dxfId="12" priority="5" operator="greaterThanOrEqual">
      <formula>0</formula>
    </cfRule>
  </conditionalFormatting>
  <conditionalFormatting sqref="F24">
    <cfRule type="cellIs" dxfId="11" priority="6" operator="lessThan">
      <formula>-4100</formula>
    </cfRule>
  </conditionalFormatting>
  <conditionalFormatting sqref="F24">
    <cfRule type="cellIs" dxfId="10" priority="7" operator="greaterThanOrEqual">
      <formula>0</formula>
    </cfRule>
  </conditionalFormatting>
  <conditionalFormatting sqref="F24">
    <cfRule type="cellIs" dxfId="9" priority="8" operator="lessThan">
      <formula>-4100</formula>
    </cfRule>
  </conditionalFormatting>
  <conditionalFormatting sqref="F24">
    <cfRule type="cellIs" dxfId="8" priority="9" operator="greaterThanOrEqual">
      <formula>0</formula>
    </cfRule>
  </conditionalFormatting>
  <conditionalFormatting sqref="F24">
    <cfRule type="cellIs" dxfId="7" priority="10" operator="lessThan">
      <formula>-4100</formula>
    </cfRule>
  </conditionalFormatting>
  <conditionalFormatting sqref="F24">
    <cfRule type="cellIs" dxfId="6" priority="11" operator="lessThan">
      <formula>-4100</formula>
    </cfRule>
  </conditionalFormatting>
  <conditionalFormatting sqref="F24">
    <cfRule type="cellIs" dxfId="5" priority="12" operator="greaterThanOrEqual">
      <formula>0</formula>
    </cfRule>
  </conditionalFormatting>
  <conditionalFormatting sqref="F24">
    <cfRule type="cellIs" dxfId="4" priority="13" operator="greaterThanOrEqual">
      <formula>0</formula>
    </cfRule>
  </conditionalFormatting>
  <conditionalFormatting sqref="F24">
    <cfRule type="cellIs" dxfId="3" priority="14" operator="lessThan">
      <formula>-4100</formula>
    </cfRule>
  </conditionalFormatting>
  <conditionalFormatting sqref="F24">
    <cfRule type="cellIs" dxfId="2" priority="15" operator="greaterThanOrEqual">
      <formula>0</formula>
    </cfRule>
  </conditionalFormatting>
  <conditionalFormatting sqref="F24">
    <cfRule type="cellIs" dxfId="1" priority="16" operator="lessThan">
      <formula>-4100</formula>
    </cfRule>
  </conditionalFormatting>
  <conditionalFormatting sqref="E24">
    <cfRule type="cellIs" dxfId="0" priority="17" operator="greaterThan">
      <formula>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5</vt:i4>
      </vt:variant>
    </vt:vector>
  </HeadingPairs>
  <TitlesOfParts>
    <vt:vector size="6" baseType="lpstr">
      <vt:lpstr>Sheet1</vt:lpstr>
      <vt:lpstr>byd</vt:lpstr>
      <vt:lpstr>hkex</vt:lpstr>
      <vt:lpstr>sun</vt:lpstr>
      <vt:lpstr>ub</vt:lpstr>
      <vt:lpstr>zte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Chan</dc:creator>
  <cp:lastModifiedBy>USER</cp:lastModifiedBy>
  <dcterms:created xsi:type="dcterms:W3CDTF">2020-10-22T02:36:49Z</dcterms:created>
  <dcterms:modified xsi:type="dcterms:W3CDTF">2026-09-28T08:36:26Z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0x010100934EDC9DC782D34982DFF76E84D12DA9</vt:lpwstr>
  </property>
</Properties>
</file>