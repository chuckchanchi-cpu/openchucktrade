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4"/>
  </sheets>
  <definedNames/>
  <calcPr/>
</workbook>
</file>

<file path=xl/sharedStrings.xml><?xml version="1.0" encoding="utf-8"?>
<sst xmlns="http://schemas.openxmlformats.org/spreadsheetml/2006/main" count="109" uniqueCount="10">
  <si>
    <t>Sell</t>
  </si>
  <si>
    <t>Buy</t>
  </si>
  <si>
    <t>Stock</t>
  </si>
  <si>
    <t>Earn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</si>
  <si>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</si>
  <si>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</si>
  <si>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Baidu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</si>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</sst>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[$$-3C09]* #,##0.00_-;\-[$$-3C09]* #,##0.00_-;_-[$$-3C09]* &quot;-&quot;??_-;_-@"/>
    <numFmt numFmtId="165" formatCode="#,##0.00_ "/>
  </numFmts>
  <fonts count="4">
    <font>
      <sz val="12.0"/>
      <color/>
      <name val="Arial"/>
      <scheme val="minor"/>
    </font>
    <font>
      <sz val="12.0"/>
      <color/>
      <name val="PMingLiu"/>
    </font>
    <font>
      <sz val="11.0"/>
      <color rgb="FF000000"/>
      <name val="PMingLiu"/>
    </font>
    <font>
      <sz val="11.0"/>
      <name val="PMingLiu"/>
    </font>
  </fonts>
  <fills count="4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bottom"/>
    </xf>
    <xf borderId="0" fillId="0" fontId="2" numFmtId="16" xfId="0" applyAlignment="1" applyFont="1" applyNumberFormat="1">
      <alignment vertical="bottom"/>
    </xf>
    <xf borderId="0" fillId="0" fontId="3" numFmtId="0" xfId="0" applyAlignment="1" applyFont="1">
      <alignment vertical="bottom"/>
    </xf>
    <xf borderId="1" fillId="2" fontId="3" numFmtId="0" xfId="0" applyAlignment="1" applyBorder="1" applyFill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3" numFmtId="10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3" fontId="1" numFmtId="0" xfId="0" applyAlignment="1" applyBorder="1" applyFill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1" ht="15.75" customHeight="1">
      <c r="A1" s="1" t="s">
        <v>0</v>
      </c>
      <c r="B1" s="1" t="s">
        <v>1</v>
      </c>
      <c r="C1" s="2">
        <v>46286.0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3">
        <v>968.0</v>
      </c>
      <c r="B2" s="3">
        <v>3800.0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4">
        <v>2.03</v>
      </c>
      <c r="B3" s="5">
        <v>0.755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5" t="str">
        <f>$B$443</f>
        <v/>
      </c>
      <c r="B4" s="5" t="str">
        <f>$A$443</f>
        <v/>
      </c>
      <c r="C4" s="1">
        <v>12000.0</v>
      </c>
      <c r="D4" s="1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6"/>
      <c r="W4" s="1"/>
      <c r="X4" s="1"/>
      <c r="Y4" s="1"/>
      <c r="Z4" s="1"/>
    </row>
    <row r="5" ht="15.75" customHeight="1">
      <c r="A5" s="3" t="str">
        <f>(A4-A3)*C5</f>
        <v>-8120</v>
      </c>
      <c r="B5" s="5" t="str">
        <f>C4*(B3-B4)</f>
        <v> $ 9,060.00 </v>
      </c>
      <c r="C5" s="1">
        <v>4000.0</v>
      </c>
      <c r="D5" s="1" t="s">
        <v>3</v>
      </c>
      <c r="E5" s="5" t="str">
        <f>A5</f>
        <v>-$ 8,120.00 </v>
      </c>
      <c r="F5" s="5" t="str">
        <f>(B5+A5)</f>
        <v> $ 940.00 </v>
      </c>
      <c r="G5" s="1" t="str">
        <f>IF(F5&gt;0, "TRADE","H")</f>
        <v>TRADE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6"/>
      <c r="W5" s="1"/>
      <c r="X5" s="1"/>
      <c r="Y5" s="1"/>
      <c r="Z5" s="1"/>
    </row>
    <row r="6" ht="15.75" customHeight="1">
      <c r="A6" s="1" t="s">
        <v>0</v>
      </c>
      <c r="B6" s="1" t="s">
        <v>1</v>
      </c>
      <c r="C6" s="2">
        <v>46260.0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3">
        <v>968.0</v>
      </c>
      <c r="B7" s="3">
        <v>3800.0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4">
        <v>2.355</v>
      </c>
      <c r="B8" s="5">
        <v>0.75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5" t="str">
        <f>$B$443</f>
        <v/>
      </c>
      <c r="B9" s="5" t="str">
        <f>$A$443</f>
        <v/>
      </c>
      <c r="C9" s="1">
        <v>12000.0</v>
      </c>
      <c r="D9" s="1" t="s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6"/>
      <c r="W9" s="1"/>
      <c r="X9" s="1"/>
      <c r="Y9" s="1"/>
      <c r="Z9" s="1"/>
    </row>
    <row r="10" ht="15.75" customHeight="1">
      <c r="A10" s="3" t="str">
        <f>(A9-A8)*C10</f>
        <v>-9420</v>
      </c>
      <c r="B10" s="5" t="str">
        <f>C9*(B8-B9)</f>
        <v> $ 9,000.00 </v>
      </c>
      <c r="C10" s="1">
        <v>4000.0</v>
      </c>
      <c r="D10" s="1" t="s">
        <v>3</v>
      </c>
      <c r="E10" s="5" t="str">
        <f>A10</f>
        <v>-$ 9,420.00 </v>
      </c>
      <c r="F10" s="5" t="str">
        <f>(B10+A10)</f>
        <v>-$ 420.00 </v>
      </c>
      <c r="G10" s="1" t="str">
        <f>IF(F10&gt;0, "TRADE","H")</f>
        <v>H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6"/>
      <c r="W10" s="1"/>
      <c r="X10" s="1"/>
      <c r="Y10" s="1"/>
      <c r="Z10" s="1"/>
    </row>
    <row r="11" ht="15.75" customHeight="1">
      <c r="A11" s="1" t="s">
        <v>0</v>
      </c>
      <c r="B11" s="1" t="s">
        <v>1</v>
      </c>
      <c r="C11" s="2">
        <v>46198.0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3">
        <v>2382.0</v>
      </c>
      <c r="B12" s="3">
        <v>763.0</v>
      </c>
      <c r="C12" s="1"/>
      <c r="D12" s="1"/>
      <c r="E12" s="1"/>
      <c r="F12" s="1"/>
      <c r="G12" s="1"/>
      <c r="H12" s="1"/>
      <c r="I12" s="7"/>
      <c r="J12" s="1"/>
      <c r="K12" s="1"/>
      <c r="L12" s="1"/>
      <c r="M12" s="6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4">
        <v>76.0</v>
      </c>
      <c r="B13" s="5">
        <v>24.66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5" t="str">
        <f>$B$473</f>
        <v/>
      </c>
      <c r="B14" s="5" t="str">
        <f>$A$473</f>
        <v/>
      </c>
      <c r="C14" s="1">
        <v>200.0</v>
      </c>
      <c r="D14" s="1" t="s">
        <v>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6"/>
      <c r="W14" s="1"/>
      <c r="X14" s="1"/>
      <c r="Y14" s="1"/>
      <c r="Z14" s="1"/>
    </row>
    <row r="15" ht="15.75" customHeight="1">
      <c r="A15" s="3" t="str">
        <f>(A14-A13)*C14</f>
        <v>-15200</v>
      </c>
      <c r="B15" s="5" t="str">
        <f>C15*(B13-B14)</f>
        <v> $ 14,796.00 </v>
      </c>
      <c r="C15" s="1">
        <v>600.0</v>
      </c>
      <c r="D15" s="1" t="s">
        <v>3</v>
      </c>
      <c r="E15" s="5" t="str">
        <f>A15</f>
        <v>-$ 15,200.00 </v>
      </c>
      <c r="F15" s="5" t="str">
        <f>(B15+A15)</f>
        <v>-$ 404.00 </v>
      </c>
      <c r="G15" s="1" t="str">
        <f>IF(F15&gt;0, "TRADE","H")</f>
        <v>H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6"/>
      <c r="W15" s="1"/>
      <c r="X15" s="1"/>
      <c r="Y15" s="1"/>
      <c r="Z15" s="1"/>
    </row>
    <row r="16" ht="15.75" customHeight="1">
      <c r="A16" s="1" t="s">
        <v>0</v>
      </c>
      <c r="B16" s="1" t="s">
        <v>1</v>
      </c>
      <c r="C16" s="2">
        <v>46283.0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3">
        <v>2382.0</v>
      </c>
      <c r="B17" s="3">
        <v>763.0</v>
      </c>
      <c r="C17" s="1"/>
      <c r="D17" s="1"/>
      <c r="E17" s="1"/>
      <c r="F17" s="1"/>
      <c r="G17" s="1"/>
      <c r="H17" s="1"/>
      <c r="I17" s="7"/>
      <c r="J17" s="1"/>
      <c r="K17" s="1"/>
      <c r="L17" s="1"/>
      <c r="M17" s="6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4">
        <v>67.65</v>
      </c>
      <c r="B18" s="5">
        <v>22.78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5" t="str">
        <f>$B$473</f>
        <v/>
      </c>
      <c r="B19" s="5" t="str">
        <f>$A$473</f>
        <v/>
      </c>
      <c r="C19" s="1">
        <v>200.0</v>
      </c>
      <c r="D19" s="1" t="s">
        <v>2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6"/>
      <c r="W19" s="1"/>
      <c r="X19" s="1"/>
      <c r="Y19" s="1"/>
      <c r="Z19" s="1"/>
    </row>
    <row r="20" ht="15.75" customHeight="1">
      <c r="A20" s="3" t="str">
        <f>(A19-A18)*C19</f>
        <v>-13530</v>
      </c>
      <c r="B20" s="5" t="str">
        <f>C20*(B18-B19)</f>
        <v> $ 13,668.00 </v>
      </c>
      <c r="C20" s="1">
        <v>600.0</v>
      </c>
      <c r="D20" s="1" t="s">
        <v>3</v>
      </c>
      <c r="E20" s="5" t="str">
        <f>A20</f>
        <v>-$ 13,530.00 </v>
      </c>
      <c r="F20" s="5" t="str">
        <f>(B20+A20)</f>
        <v> $ 138.00 </v>
      </c>
      <c r="G20" s="1" t="str">
        <f>IF(F20&gt;0, "TRADE","H")</f>
        <v>TRADE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6"/>
      <c r="W20" s="1"/>
      <c r="X20" s="1"/>
      <c r="Y20" s="1"/>
      <c r="Z20" s="1"/>
    </row>
    <row r="21" ht="15.75" customHeight="1">
      <c r="A21" s="1" t="s">
        <v>0</v>
      </c>
      <c r="B21" s="1" t="s">
        <v>1</v>
      </c>
      <c r="C21" s="2">
        <v>46283.0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3">
        <v>2382.0</v>
      </c>
      <c r="B22" s="3">
        <v>763.0</v>
      </c>
      <c r="C22" s="1"/>
      <c r="D22" s="1"/>
      <c r="E22" s="1"/>
      <c r="F22" s="1"/>
      <c r="G22" s="1"/>
      <c r="H22" s="1"/>
      <c r="I22" s="7"/>
      <c r="J22" s="1"/>
      <c r="K22" s="1"/>
      <c r="L22" s="1"/>
      <c r="M22" s="6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4">
        <v>67.1</v>
      </c>
      <c r="B23" s="5">
        <v>22.92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5" t="str">
        <f>$B$473</f>
        <v/>
      </c>
      <c r="B24" s="5" t="str">
        <f>$A$473</f>
        <v/>
      </c>
      <c r="C24" s="1">
        <v>200.0</v>
      </c>
      <c r="D24" s="1" t="s">
        <v>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6"/>
      <c r="W24" s="1"/>
      <c r="X24" s="1"/>
      <c r="Y24" s="1"/>
      <c r="Z24" s="1"/>
    </row>
    <row r="25" ht="15.75" customHeight="1">
      <c r="A25" s="3" t="str">
        <f>(A24-A23)*C24</f>
        <v>-13420</v>
      </c>
      <c r="B25" s="5" t="str">
        <f>C25*(B23-B24)</f>
        <v> $ 13,752.00 </v>
      </c>
      <c r="C25" s="1">
        <v>600.0</v>
      </c>
      <c r="D25" s="1" t="s">
        <v>3</v>
      </c>
      <c r="E25" s="5" t="str">
        <f>A25</f>
        <v>-$ 13,420.00 </v>
      </c>
      <c r="F25" s="5" t="str">
        <f>(B25+A25)</f>
        <v> $ 332.00 </v>
      </c>
      <c r="G25" s="1" t="str">
        <f>IF(F25&gt;0, "TRADE","H")</f>
        <v>TRADE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6"/>
      <c r="W25" s="1"/>
      <c r="X25" s="1"/>
      <c r="Y25" s="1"/>
      <c r="Z25" s="1"/>
    </row>
    <row r="26" ht="15.75" customHeight="1">
      <c r="A26" s="1" t="s">
        <v>0</v>
      </c>
      <c r="B26" s="1" t="s">
        <v>1</v>
      </c>
      <c r="C26" s="2">
        <v>46289.0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3">
        <v>763.0</v>
      </c>
      <c r="B27" s="3">
        <v>2382.0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6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4">
        <v>22.38</v>
      </c>
      <c r="B28" s="5">
        <v>65.4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5" t="str">
        <f>$A$473</f>
        <v/>
      </c>
      <c r="B29" s="5" t="str">
        <f>$B$473</f>
        <v/>
      </c>
      <c r="C29" s="1">
        <v>600.0</v>
      </c>
      <c r="D29" s="1" t="s">
        <v>2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6"/>
      <c r="W29" s="1"/>
      <c r="X29" s="1"/>
      <c r="Y29" s="1"/>
      <c r="Z29" s="1"/>
    </row>
    <row r="30" ht="15.75" customHeight="1">
      <c r="A30" s="3" t="str">
        <f>(A29-A28)*C29</f>
        <v>-13428</v>
      </c>
      <c r="B30" s="5" t="str">
        <f>C30*(B28-B29)</f>
        <v> $ 13,080.00 </v>
      </c>
      <c r="C30" s="1">
        <v>200.0</v>
      </c>
      <c r="D30" s="1" t="s">
        <v>3</v>
      </c>
      <c r="E30" s="5" t="str">
        <f>A30</f>
        <v>-$ 13,428.00 </v>
      </c>
      <c r="F30" s="5" t="str">
        <f>(B30+A30)</f>
        <v>-$ 348.00 </v>
      </c>
      <c r="G30" s="1" t="str">
        <f>IF(F30&gt;0, "TRADE","H")</f>
        <v>H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6"/>
      <c r="W30" s="1"/>
      <c r="X30" s="1"/>
      <c r="Y30" s="1"/>
      <c r="Z30" s="1"/>
    </row>
    <row r="31" ht="15.75" customHeight="1">
      <c r="A31" s="1" t="s">
        <v>0</v>
      </c>
      <c r="B31" s="1" t="s">
        <v>1</v>
      </c>
      <c r="C31" s="2">
        <v>46262.0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3">
        <v>763.0</v>
      </c>
      <c r="B32" s="3">
        <v>2382.0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6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4">
        <v>23.76</v>
      </c>
      <c r="B33" s="5">
        <v>65.95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5" t="str">
        <f>$A$473</f>
        <v/>
      </c>
      <c r="B34" s="5" t="str">
        <f>$B$473</f>
        <v/>
      </c>
      <c r="C34" s="1">
        <v>600.0</v>
      </c>
      <c r="D34" s="1" t="s">
        <v>2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6"/>
      <c r="W34" s="1"/>
      <c r="X34" s="1"/>
      <c r="Y34" s="1"/>
      <c r="Z34" s="1"/>
    </row>
    <row r="35" ht="15.75" customHeight="1">
      <c r="A35" s="3" t="str">
        <f>(A34-A33)*C34</f>
        <v>-14256</v>
      </c>
      <c r="B35" s="5" t="str">
        <f>C35*(B33-B34)</f>
        <v> $ 13,190.00 </v>
      </c>
      <c r="C35" s="1">
        <v>200.0</v>
      </c>
      <c r="D35" s="1" t="s">
        <v>3</v>
      </c>
      <c r="E35" s="5" t="str">
        <f>A35</f>
        <v>-$ 14,256.00 </v>
      </c>
      <c r="F35" s="5" t="str">
        <f>(B35+A35)</f>
        <v>-$ 1,066.00 </v>
      </c>
      <c r="G35" s="1" t="str">
        <f>IF(F35&gt;0, "TRADE","H")</f>
        <v>H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6"/>
      <c r="W35" s="1"/>
      <c r="X35" s="1"/>
      <c r="Y35" s="1"/>
      <c r="Z35" s="1"/>
    </row>
    <row r="36" ht="15.75" customHeight="1">
      <c r="A36" s="3" t="s">
        <v>0</v>
      </c>
      <c r="B36" s="3"/>
      <c r="C36" s="2">
        <v>46273.0</v>
      </c>
      <c r="D36" s="1"/>
      <c r="E36" s="1"/>
      <c r="F36" s="8"/>
      <c r="G36" s="1"/>
      <c r="H36" s="1"/>
      <c r="I36" s="1"/>
      <c r="J36" s="1"/>
      <c r="K36" s="1"/>
      <c r="L36" s="1"/>
      <c r="M36" s="1"/>
      <c r="N36" s="1"/>
      <c r="O36" s="1"/>
      <c r="P36" s="1"/>
      <c r="Q36" s="6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3">
        <v>6030.0</v>
      </c>
      <c r="B37" s="3">
        <v>388.0</v>
      </c>
      <c r="C37" s="1"/>
      <c r="D37" s="1"/>
      <c r="E37" s="1"/>
      <c r="F37" s="8"/>
      <c r="G37" s="1"/>
      <c r="H37" s="1"/>
      <c r="I37" s="1"/>
      <c r="J37" s="1"/>
      <c r="K37" s="1"/>
      <c r="L37" s="1"/>
      <c r="M37" s="1"/>
      <c r="N37" s="1"/>
      <c r="O37" s="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4">
        <v>25.76</v>
      </c>
      <c r="B38" s="3">
        <v>402.2</v>
      </c>
      <c r="C38" s="1"/>
      <c r="D38" s="1"/>
      <c r="E38" s="1"/>
      <c r="F38" s="8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6"/>
      <c r="V38" s="1"/>
      <c r="W38" s="1"/>
      <c r="X38" s="1"/>
      <c r="Y38" s="1"/>
      <c r="Z38" s="1"/>
    </row>
    <row r="39" ht="15.75" customHeight="1">
      <c r="A39" s="5" t="str">
        <f>$B$548</f>
        <v/>
      </c>
      <c r="B39" s="5" t="str">
        <f>$A$548</f>
        <v/>
      </c>
      <c r="C39" s="1">
        <v>100.0</v>
      </c>
      <c r="D39" s="1"/>
      <c r="E39" s="1"/>
      <c r="F39" s="8"/>
      <c r="G39" s="1"/>
      <c r="H39" s="8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6"/>
      <c r="Z39" s="1"/>
    </row>
    <row r="40" ht="15.75" customHeight="1">
      <c r="A40" s="3" t="str">
        <f>(A39-A38)*C40</f>
        <v>-51520</v>
      </c>
      <c r="B40" s="3" t="str">
        <f>(B38-B39)*C39</f>
        <v>40220</v>
      </c>
      <c r="C40" s="1">
        <v>2000.0</v>
      </c>
      <c r="D40" s="1"/>
      <c r="E40" s="5" t="str">
        <f>A40</f>
        <v>-$ 51,520.00 </v>
      </c>
      <c r="F40" s="3" t="str">
        <f>(B40+A40)</f>
        <v>-11300</v>
      </c>
      <c r="G40" s="1" t="str">
        <f>IF(F40&gt;0, "TRADE","H")</f>
        <v>H</v>
      </c>
      <c r="H40" s="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6"/>
      <c r="Z40" s="1"/>
    </row>
    <row r="41" ht="15.75" customHeight="1">
      <c r="A41" s="7" t="s">
        <v>4</v>
      </c>
      <c r="B41" s="7" t="s">
        <v>5</v>
      </c>
      <c r="C41" s="2">
        <v>46261.0</v>
      </c>
      <c r="D41" s="1"/>
      <c r="E41" s="1"/>
      <c r="F41" s="1"/>
      <c r="G41" s="1"/>
      <c r="H41" s="3"/>
      <c r="I41" s="3"/>
      <c r="J41" s="3"/>
      <c r="K41" s="3"/>
      <c r="L41" s="6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3">
        <v>1211.0</v>
      </c>
      <c r="B42" s="3" t="s">
        <v>6</v>
      </c>
      <c r="C42" s="1"/>
      <c r="D42" s="1"/>
      <c r="E42" s="1"/>
      <c r="F42" s="1"/>
      <c r="G42" s="1"/>
      <c r="H42" s="1"/>
      <c r="I42" s="1"/>
      <c r="J42" s="1"/>
      <c r="K42" s="1"/>
      <c r="L42" s="6"/>
      <c r="M42" s="1"/>
      <c r="N42" s="6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3">
        <v>85.55</v>
      </c>
      <c r="B43" s="3">
        <v>91.35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5" t="str">
        <f>$A$563</f>
        <v/>
      </c>
      <c r="B44" s="5" t="str">
        <f>$B$563</f>
        <v/>
      </c>
      <c r="C44" s="1">
        <v>300.0</v>
      </c>
      <c r="D44" s="1" t="s">
        <v>2</v>
      </c>
      <c r="E44" s="9"/>
      <c r="F44" s="1"/>
      <c r="G44" s="1"/>
      <c r="H44" s="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6"/>
    </row>
    <row r="45" ht="15.75" customHeight="1">
      <c r="A45" s="5" t="str">
        <f>C45*(A44-A43)</f>
        <v>-$ 25,665.00 </v>
      </c>
      <c r="B45" s="5" t="str">
        <f>C44*(B43-B44)</f>
        <v> $ 27,405.00 </v>
      </c>
      <c r="C45" s="1">
        <v>300.0</v>
      </c>
      <c r="D45" s="1" t="s">
        <v>3</v>
      </c>
      <c r="E45" s="5" t="str">
        <f>A45</f>
        <v>-$ 25,665.00 </v>
      </c>
      <c r="F45" s="5" t="str">
        <f>(B45+A45)</f>
        <v> $ 1,740.00 </v>
      </c>
      <c r="G45" s="1" t="str">
        <f>IF(F45&gt;0, "TRADE","H")</f>
        <v>TRADE</v>
      </c>
      <c r="H45" s="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6"/>
    </row>
    <row r="46" ht="15.75" customHeight="1">
      <c r="A46" s="7" t="s">
        <v>7</v>
      </c>
      <c r="B46" s="7" t="s">
        <v>8</v>
      </c>
      <c r="C46" s="2">
        <v>46261.0</v>
      </c>
      <c r="D46" s="1"/>
      <c r="E46" s="1"/>
      <c r="F46" s="1"/>
      <c r="G46" s="1"/>
      <c r="H46" s="3"/>
      <c r="I46" s="3"/>
      <c r="J46" s="3"/>
      <c r="K46" s="3"/>
      <c r="L46" s="6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3">
        <v>1211.0</v>
      </c>
      <c r="B47" s="3" t="s">
        <v>6</v>
      </c>
      <c r="C47" s="1"/>
      <c r="D47" s="1"/>
      <c r="E47" s="1"/>
      <c r="F47" s="1"/>
      <c r="G47" s="1"/>
      <c r="H47" s="1"/>
      <c r="I47" s="1"/>
      <c r="J47" s="1"/>
      <c r="K47" s="1"/>
      <c r="L47" s="6"/>
      <c r="M47" s="1"/>
      <c r="N47" s="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3">
        <v>92.25</v>
      </c>
      <c r="B48" s="3">
        <v>94.65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5" t="str">
        <f>$A$563</f>
        <v/>
      </c>
      <c r="B49" s="5" t="str">
        <f>$B$563</f>
        <v/>
      </c>
      <c r="C49" s="1">
        <v>300.0</v>
      </c>
      <c r="D49" s="1" t="s">
        <v>2</v>
      </c>
      <c r="E49" s="9"/>
      <c r="F49" s="1"/>
      <c r="G49" s="1"/>
      <c r="H49" s="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6"/>
    </row>
    <row r="50" ht="15.75" customHeight="1">
      <c r="A50" s="5" t="str">
        <f>C50*(A49-A48)</f>
        <v>-$ 27,675.00 </v>
      </c>
      <c r="B50" s="5" t="str">
        <f>C49*(B48-B49)</f>
        <v> $ 28,395.00 </v>
      </c>
      <c r="C50" s="1">
        <v>300.0</v>
      </c>
      <c r="D50" s="1" t="s">
        <v>3</v>
      </c>
      <c r="E50" s="5" t="str">
        <f>A50</f>
        <v>-$ 27,675.00 </v>
      </c>
      <c r="F50" s="5" t="str">
        <f>(B50+A50)</f>
        <v> $ 720.00 </v>
      </c>
      <c r="G50" s="1" t="str">
        <f>IF(F50&gt;0, "TRADE","H")</f>
        <v>TRADE</v>
      </c>
      <c r="H50" s="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6"/>
    </row>
    <row r="51" ht="15.75" customHeight="1">
      <c r="A51" s="1" t="s">
        <v>0</v>
      </c>
      <c r="B51" s="1" t="s">
        <v>1</v>
      </c>
      <c r="C51" s="2">
        <v>46213.0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3">
        <v>6680.0</v>
      </c>
      <c r="B52" s="3">
        <v>1211.0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6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4">
        <v>17.47</v>
      </c>
      <c r="B53" s="5">
        <v>85.65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5" t="str">
        <f>$A$593</f>
        <v/>
      </c>
      <c r="B54" s="5" t="str">
        <f>$B$593</f>
        <v/>
      </c>
      <c r="C54" s="1">
        <v>800.0</v>
      </c>
      <c r="D54" s="1" t="s">
        <v>2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6"/>
      <c r="W54" s="1"/>
      <c r="X54" s="1"/>
      <c r="Y54" s="1"/>
      <c r="Z54" s="1"/>
    </row>
    <row r="55" ht="15.75" customHeight="1">
      <c r="A55" s="3" t="str">
        <f>(A54-A53)*C54</f>
        <v>-13976</v>
      </c>
      <c r="B55" s="5" t="str">
        <f>C55*(B53-B54)</f>
        <v> $ 17,130.00 </v>
      </c>
      <c r="C55" s="1">
        <v>200.0</v>
      </c>
      <c r="D55" s="1" t="s">
        <v>3</v>
      </c>
      <c r="E55" s="5" t="str">
        <f>A55</f>
        <v>-$ 13,976.00 </v>
      </c>
      <c r="F55" s="5" t="str">
        <f>(B55+A55)</f>
        <v> $ 3,154.00 </v>
      </c>
      <c r="G55" s="1" t="str">
        <f>IF(F55&gt;0, "TRADE","H")</f>
        <v>TRADE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6"/>
      <c r="W55" s="1"/>
      <c r="X55" s="1"/>
      <c r="Y55" s="1"/>
      <c r="Z55" s="1"/>
    </row>
    <row r="56" ht="15.75" customHeight="1">
      <c r="A56" s="1" t="s">
        <v>0</v>
      </c>
      <c r="B56" s="1" t="s">
        <v>1</v>
      </c>
      <c r="C56" s="2">
        <v>46287.0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3">
        <v>6680.0</v>
      </c>
      <c r="B57" s="3">
        <v>1211.0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6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4">
        <v>16.09</v>
      </c>
      <c r="B58" s="5">
        <v>81.4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5" t="str">
        <f>$A$593</f>
        <v/>
      </c>
      <c r="B59" s="5" t="str">
        <f>$B$593</f>
        <v/>
      </c>
      <c r="C59" s="1">
        <v>800.0</v>
      </c>
      <c r="D59" s="1" t="s">
        <v>2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6"/>
      <c r="W59" s="1"/>
      <c r="X59" s="1"/>
      <c r="Y59" s="1"/>
      <c r="Z59" s="1"/>
    </row>
    <row r="60" ht="15.75" customHeight="1">
      <c r="A60" s="3" t="str">
        <f>(A59-A58)*C59</f>
        <v>-12872</v>
      </c>
      <c r="B60" s="5" t="str">
        <f>C60*(B58-B59)</f>
        <v> $ 16,280.00 </v>
      </c>
      <c r="C60" s="1">
        <v>200.0</v>
      </c>
      <c r="D60" s="1" t="s">
        <v>3</v>
      </c>
      <c r="E60" s="5" t="str">
        <f>A60</f>
        <v>-$ 12,872.00 </v>
      </c>
      <c r="F60" s="5" t="str">
        <f>(B60+A60)</f>
        <v> $ 3,408.00 </v>
      </c>
      <c r="G60" s="1" t="str">
        <f>IF(F60&gt;0, "TRADE","H")</f>
        <v>TRADE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6"/>
      <c r="W60" s="1"/>
      <c r="X60" s="1"/>
      <c r="Y60" s="1"/>
      <c r="Z60" s="1"/>
    </row>
    <row r="61" ht="15.75" customHeight="1">
      <c r="A61" s="1" t="s">
        <v>0</v>
      </c>
      <c r="B61" s="1" t="s">
        <v>1</v>
      </c>
      <c r="C61" s="2">
        <v>46289.0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3">
        <v>1211.0</v>
      </c>
      <c r="B62" s="3">
        <v>6680.0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6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4">
        <v>80.05</v>
      </c>
      <c r="B63" s="5">
        <v>15.62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5" t="str">
        <f>$B$593</f>
        <v/>
      </c>
      <c r="B64" s="5" t="str">
        <f>$A$593</f>
        <v/>
      </c>
      <c r="C64" s="1">
        <v>200.0</v>
      </c>
      <c r="D64" s="1" t="s">
        <v>2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6"/>
      <c r="W64" s="1"/>
      <c r="X64" s="1"/>
      <c r="Y64" s="1"/>
      <c r="Z64" s="1"/>
    </row>
    <row r="65" ht="15.75" customHeight="1">
      <c r="A65" s="3" t="str">
        <f>(A64-A63)*C64</f>
        <v>-16010</v>
      </c>
      <c r="B65" s="5" t="str">
        <f>C65*(B63-B64)</f>
        <v> $ 12,496.00 </v>
      </c>
      <c r="C65" s="1">
        <v>800.0</v>
      </c>
      <c r="D65" s="1" t="s">
        <v>3</v>
      </c>
      <c r="E65" s="5" t="str">
        <f>A65</f>
        <v>-$ 16,010.00 </v>
      </c>
      <c r="F65" s="5" t="str">
        <f>(B65+A65)</f>
        <v>-$ 3,514.00 </v>
      </c>
      <c r="G65" s="1" t="str">
        <f>IF(F65&gt;0, "TRADE","H")</f>
        <v>H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6"/>
      <c r="W65" s="1"/>
      <c r="X65" s="1"/>
      <c r="Y65" s="1"/>
      <c r="Z65" s="1"/>
    </row>
    <row r="66" ht="15.75" customHeight="1">
      <c r="A66" s="1" t="s">
        <v>0</v>
      </c>
      <c r="B66" s="1" t="s">
        <v>1</v>
      </c>
      <c r="C66" s="2">
        <v>46267.0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3">
        <v>1211.0</v>
      </c>
      <c r="B67" s="3">
        <v>6680.0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6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4">
        <v>84.75</v>
      </c>
      <c r="B68" s="5">
        <v>16.25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5" t="str">
        <f>$B$593</f>
        <v/>
      </c>
      <c r="B69" s="5" t="str">
        <f>$A$593</f>
        <v/>
      </c>
      <c r="C69" s="1">
        <v>200.0</v>
      </c>
      <c r="D69" s="1" t="s">
        <v>2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6"/>
      <c r="W69" s="1"/>
      <c r="X69" s="1"/>
      <c r="Y69" s="1"/>
      <c r="Z69" s="1"/>
    </row>
    <row r="70" ht="15.75" customHeight="1">
      <c r="A70" s="3" t="str">
        <f>(A69-A68)*C69</f>
        <v>-16950</v>
      </c>
      <c r="B70" s="5" t="str">
        <f>C70*(B68-B69)</f>
        <v> $ 13,000.00 </v>
      </c>
      <c r="C70" s="1">
        <v>800.0</v>
      </c>
      <c r="D70" s="1" t="s">
        <v>3</v>
      </c>
      <c r="E70" s="5" t="str">
        <f>A70</f>
        <v>-$ 16,950.00 </v>
      </c>
      <c r="F70" s="5" t="str">
        <f>(B70+A70)</f>
        <v>-$ 3,950.00 </v>
      </c>
      <c r="G70" s="1" t="str">
        <f>IF(F70&gt;0, "TRADE","H")</f>
        <v>H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6"/>
      <c r="W70" s="1"/>
      <c r="X70" s="1"/>
      <c r="Y70" s="1"/>
      <c r="Z70" s="1"/>
    </row>
    <row r="71" ht="15.75" customHeight="1">
      <c r="A71" s="1" t="s">
        <v>0</v>
      </c>
      <c r="B71" s="1" t="s">
        <v>1</v>
      </c>
      <c r="C71" s="2">
        <v>46265.0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3">
        <v>1211.0</v>
      </c>
      <c r="B72" s="3">
        <v>6680.0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6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4">
        <v>88.5</v>
      </c>
      <c r="B73" s="5">
        <v>16.97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5" t="str">
        <f>$B$593</f>
        <v/>
      </c>
      <c r="B74" s="5" t="str">
        <f>$A$593</f>
        <v/>
      </c>
      <c r="C74" s="10">
        <v>300.0</v>
      </c>
      <c r="D74" s="1" t="s">
        <v>2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6"/>
      <c r="W74" s="1"/>
      <c r="X74" s="1"/>
      <c r="Y74" s="1"/>
      <c r="Z74" s="1"/>
    </row>
    <row r="75" ht="15.75" customHeight="1">
      <c r="A75" s="3" t="str">
        <f>(A74-A73)*C74</f>
        <v>-26550</v>
      </c>
      <c r="B75" s="5" t="str">
        <f>C75*(B73-B74)</f>
        <v> $ 20,364.00 </v>
      </c>
      <c r="C75" s="10">
        <v>1200.0</v>
      </c>
      <c r="D75" s="1" t="s">
        <v>3</v>
      </c>
      <c r="E75" s="5" t="str">
        <f>A75</f>
        <v>-$ 26,550.00 </v>
      </c>
      <c r="F75" s="5" t="str">
        <f>(B75+A75)</f>
        <v>-$ 6,186.00 </v>
      </c>
      <c r="G75" s="1" t="str">
        <f>IF(F75&gt;0, "TRADE","H")</f>
        <v>H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6"/>
      <c r="W75" s="1"/>
      <c r="X75" s="1"/>
      <c r="Y75" s="1"/>
      <c r="Z75" s="1"/>
    </row>
    <row r="76" ht="15.75" customHeight="1">
      <c r="A76" s="1" t="s">
        <v>0</v>
      </c>
      <c r="B76" s="1" t="s">
        <v>1</v>
      </c>
      <c r="C76" s="2">
        <v>46261.0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3">
        <v>1211.0</v>
      </c>
      <c r="B77" s="3">
        <v>6680.0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6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4">
        <v>91.25</v>
      </c>
      <c r="B78" s="5">
        <v>17.23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5" t="str">
        <f>$B$593</f>
        <v/>
      </c>
      <c r="B79" s="5" t="str">
        <f>$A$593</f>
        <v/>
      </c>
      <c r="C79" s="1">
        <v>200.0</v>
      </c>
      <c r="D79" s="1" t="s">
        <v>2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6"/>
      <c r="W79" s="1"/>
      <c r="X79" s="1"/>
      <c r="Y79" s="1"/>
      <c r="Z79" s="1"/>
    </row>
    <row r="80" ht="15.75" customHeight="1">
      <c r="A80" s="3" t="str">
        <f>(A79-A78)*C79</f>
        <v>-18250</v>
      </c>
      <c r="B80" s="5" t="str">
        <f>C80*(B78-B79)</f>
        <v> $ 13,784.00 </v>
      </c>
      <c r="C80" s="1">
        <v>800.0</v>
      </c>
      <c r="D80" s="1" t="s">
        <v>3</v>
      </c>
      <c r="E80" s="5" t="str">
        <f>A80</f>
        <v>-$ 18,250.00 </v>
      </c>
      <c r="F80" s="5" t="str">
        <f>(B80+A80)</f>
        <v>-$ 4,466.00 </v>
      </c>
      <c r="G80" s="1" t="str">
        <f>IF(F80&gt;0, "TRADE","H")</f>
        <v>H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6"/>
      <c r="W80" s="1"/>
      <c r="X80" s="1"/>
      <c r="Y80" s="1"/>
      <c r="Z80" s="1"/>
    </row>
    <row r="81" ht="15.75" customHeight="1">
      <c r="A81" s="1" t="s">
        <v>0</v>
      </c>
      <c r="B81" s="1" t="s">
        <v>1</v>
      </c>
      <c r="C81" s="2">
        <v>46265.0</v>
      </c>
      <c r="D81" s="1"/>
      <c r="E81" s="1"/>
      <c r="F81" s="1"/>
      <c r="G81" s="1"/>
      <c r="H81" s="1"/>
      <c r="I81" s="1"/>
      <c r="J81" s="6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3" t="s">
        <v>9</v>
      </c>
      <c r="B82" s="3">
        <v>2382.0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4">
        <v>93.7</v>
      </c>
      <c r="B83" s="3">
        <v>68.0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6"/>
      <c r="V83" s="1"/>
      <c r="W83" s="1"/>
      <c r="X83" s="1"/>
      <c r="Y83" s="1"/>
      <c r="Z83" s="1"/>
    </row>
    <row r="84" ht="15.75" customHeight="1">
      <c r="A84" s="5" t="str">
        <f>$B$679</f>
        <v/>
      </c>
      <c r="B84" s="5" t="str">
        <f>$A$679</f>
        <v/>
      </c>
      <c r="C84" s="1">
        <v>200.0</v>
      </c>
      <c r="D84" s="1"/>
      <c r="E84" s="1"/>
      <c r="F84" s="1"/>
      <c r="G84" s="1"/>
      <c r="H84" s="8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6"/>
      <c r="Z84" s="1"/>
    </row>
    <row r="85" ht="15.75" customHeight="1">
      <c r="A85" s="3" t="str">
        <f>(A84-A83)*C85</f>
        <v>-18740</v>
      </c>
      <c r="B85" s="3" t="str">
        <f>(B83-B84)*C84</f>
        <v>13600</v>
      </c>
      <c r="C85" s="1">
        <v>200.0</v>
      </c>
      <c r="D85" s="1"/>
      <c r="E85" s="5" t="str">
        <f>A85</f>
        <v>-$ 18,740.00 </v>
      </c>
      <c r="F85" s="3" t="str">
        <f>(B85+A85)</f>
        <v>-5140</v>
      </c>
      <c r="G85" s="1" t="str">
        <f>IF(F85&gt;0, "TRADE","H")</f>
        <v>H</v>
      </c>
      <c r="H85" s="8"/>
      <c r="I85" s="1"/>
      <c r="J85" s="1"/>
      <c r="K85" s="1"/>
      <c r="L85" s="1"/>
      <c r="M85" s="1"/>
      <c r="N85" s="6"/>
      <c r="O85" s="1"/>
      <c r="P85" s="1"/>
      <c r="Q85" s="1"/>
      <c r="R85" s="1"/>
      <c r="S85" s="1"/>
      <c r="T85" s="1"/>
      <c r="U85" s="1"/>
      <c r="V85" s="1"/>
      <c r="W85" s="1"/>
      <c r="X85" s="1"/>
      <c r="Y85" s="6"/>
      <c r="Z85" s="1"/>
    </row>
    <row r="86" ht="15.75" customHeight="1">
      <c r="A86" s="1" t="s">
        <v>0</v>
      </c>
      <c r="B86" s="1" t="s">
        <v>1</v>
      </c>
      <c r="C86" s="2">
        <v>46289.0</v>
      </c>
      <c r="D86" s="1"/>
      <c r="E86" s="1"/>
      <c r="F86" s="1"/>
      <c r="G86" s="1"/>
      <c r="H86" s="1"/>
      <c r="I86" s="1"/>
      <c r="J86" s="6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3" t="s">
        <v>9</v>
      </c>
      <c r="B87" s="3">
        <v>2382.0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4">
        <v>86.55</v>
      </c>
      <c r="B88" s="3">
        <v>65.05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6"/>
      <c r="V88" s="1"/>
      <c r="W88" s="1"/>
      <c r="X88" s="1"/>
      <c r="Y88" s="1"/>
      <c r="Z88" s="1"/>
    </row>
    <row r="89" ht="15.75" customHeight="1">
      <c r="A89" s="5" t="str">
        <f>$B$679</f>
        <v/>
      </c>
      <c r="B89" s="5" t="str">
        <f>$A$679</f>
        <v/>
      </c>
      <c r="C89" s="1">
        <v>200.0</v>
      </c>
      <c r="D89" s="1"/>
      <c r="E89" s="1"/>
      <c r="F89" s="1"/>
      <c r="G89" s="1"/>
      <c r="H89" s="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6"/>
      <c r="Z89" s="1"/>
    </row>
    <row r="90" ht="15.75" customHeight="1">
      <c r="A90" s="3" t="str">
        <f>(A89-A88)*C90</f>
        <v>-17310</v>
      </c>
      <c r="B90" s="3" t="str">
        <f>(B88-B89)*C89</f>
        <v>13010</v>
      </c>
      <c r="C90" s="1">
        <v>200.0</v>
      </c>
      <c r="D90" s="1"/>
      <c r="E90" s="5" t="str">
        <f>A90</f>
        <v>-$ 17,310.00 </v>
      </c>
      <c r="F90" s="3" t="str">
        <f>(B90+A90)</f>
        <v>-4300</v>
      </c>
      <c r="G90" s="1" t="str">
        <f>IF(F90&gt;0, "TRADE","H")</f>
        <v>H</v>
      </c>
      <c r="H90" s="8"/>
      <c r="I90" s="1"/>
      <c r="J90" s="1"/>
      <c r="K90" s="1"/>
      <c r="L90" s="1"/>
      <c r="M90" s="1"/>
      <c r="N90" s="6"/>
      <c r="O90" s="1"/>
      <c r="P90" s="1"/>
      <c r="Q90" s="1"/>
      <c r="R90" s="1"/>
      <c r="S90" s="1"/>
      <c r="T90" s="1"/>
      <c r="U90" s="1"/>
      <c r="V90" s="1"/>
      <c r="W90" s="1"/>
      <c r="X90" s="1"/>
      <c r="Y90" s="6"/>
      <c r="Z90" s="1"/>
    </row>
    <row r="91" ht="15.75" customHeight="1">
      <c r="A91" s="1" t="s">
        <v>0</v>
      </c>
      <c r="B91" s="1" t="s">
        <v>1</v>
      </c>
      <c r="C91" s="2">
        <v>46245.0</v>
      </c>
      <c r="D91" s="1"/>
      <c r="E91" s="1"/>
      <c r="F91" s="1"/>
      <c r="G91" s="1"/>
      <c r="H91" s="8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6"/>
    </row>
    <row r="92" ht="15.75" customHeight="1">
      <c r="A92" s="3" t="s">
        <v>9</v>
      </c>
      <c r="B92" s="3">
        <v>9880.0</v>
      </c>
      <c r="C92" s="1"/>
      <c r="D92" s="1"/>
      <c r="E92" s="1"/>
      <c r="F92" s="1"/>
      <c r="G92" s="1"/>
      <c r="H92" s="8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6"/>
    </row>
    <row r="93" ht="15.75" customHeight="1">
      <c r="A93" s="4">
        <v>105.0</v>
      </c>
      <c r="B93" s="3">
        <v>91.25</v>
      </c>
      <c r="C93" s="1"/>
      <c r="D93" s="1"/>
      <c r="E93" s="1"/>
      <c r="F93" s="1"/>
      <c r="G93" s="1"/>
      <c r="H93" s="8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6"/>
    </row>
    <row r="94" ht="15.75" customHeight="1">
      <c r="A94" s="5" t="str">
        <f>$B$719</f>
        <v/>
      </c>
      <c r="B94" s="5" t="str">
        <f>$A$719</f>
        <v/>
      </c>
      <c r="C94" s="1">
        <v>200.0</v>
      </c>
      <c r="D94" s="1" t="s">
        <v>2</v>
      </c>
      <c r="E94" s="1"/>
      <c r="F94" s="1"/>
      <c r="G94" s="1"/>
      <c r="H94" s="8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6"/>
    </row>
    <row r="95" ht="15.75" customHeight="1">
      <c r="A95" s="3" t="str">
        <f>(A94-A93)*C95</f>
        <v>-21000</v>
      </c>
      <c r="B95" s="3" t="str">
        <f>(B93-B94)*C94</f>
        <v>18250</v>
      </c>
      <c r="C95" s="1">
        <v>200.0</v>
      </c>
      <c r="D95" s="1" t="s">
        <v>3</v>
      </c>
      <c r="E95" s="5" t="str">
        <f>A95</f>
        <v>-$ 21,000.00 </v>
      </c>
      <c r="F95" s="3" t="str">
        <f>(B95+A95)</f>
        <v>-2750</v>
      </c>
      <c r="G95" s="1" t="str">
        <f>IF(F95&gt;0, "TRADE","H")</f>
        <v>H</v>
      </c>
      <c r="H95" s="8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6"/>
    </row>
    <row r="96" ht="15.75" customHeight="1">
      <c r="A96" s="1" t="s">
        <v>0</v>
      </c>
      <c r="B96" s="1" t="s">
        <v>1</v>
      </c>
      <c r="C96" s="2">
        <v>46281.0</v>
      </c>
      <c r="D96" s="1"/>
      <c r="E96" s="1"/>
      <c r="F96" s="1"/>
      <c r="G96" s="1"/>
      <c r="H96" s="8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6"/>
    </row>
    <row r="97" ht="15.75" customHeight="1">
      <c r="A97" s="3" t="s">
        <v>9</v>
      </c>
      <c r="B97" s="3">
        <v>9880.0</v>
      </c>
      <c r="C97" s="1"/>
      <c r="D97" s="1"/>
      <c r="E97" s="1"/>
      <c r="F97" s="1"/>
      <c r="G97" s="1"/>
      <c r="H97" s="8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6"/>
    </row>
    <row r="98" ht="15.75" customHeight="1">
      <c r="A98" s="4">
        <v>88.3</v>
      </c>
      <c r="B98" s="3">
        <v>77.7</v>
      </c>
      <c r="C98" s="1"/>
      <c r="D98" s="1"/>
      <c r="E98" s="1"/>
      <c r="F98" s="1"/>
      <c r="G98" s="1"/>
      <c r="H98" s="8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6"/>
    </row>
    <row r="99" ht="15.75" customHeight="1">
      <c r="A99" s="5" t="str">
        <f>$B$719</f>
        <v/>
      </c>
      <c r="B99" s="5" t="str">
        <f>$A$719</f>
        <v/>
      </c>
      <c r="C99" s="1">
        <v>200.0</v>
      </c>
      <c r="D99" s="1" t="s">
        <v>2</v>
      </c>
      <c r="E99" s="1"/>
      <c r="F99" s="1"/>
      <c r="G99" s="1"/>
      <c r="H99" s="8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6"/>
    </row>
    <row r="100" ht="15.75" customHeight="1">
      <c r="A100" s="3" t="str">
        <f>(A99-A98)*C100</f>
        <v>-17660</v>
      </c>
      <c r="B100" s="3" t="str">
        <f>(B98-B99)*C99</f>
        <v>15540</v>
      </c>
      <c r="C100" s="1">
        <v>200.0</v>
      </c>
      <c r="D100" s="1" t="s">
        <v>3</v>
      </c>
      <c r="E100" s="5" t="str">
        <f>A100</f>
        <v>-$ 17,660.00 </v>
      </c>
      <c r="F100" s="3" t="str">
        <f>(B100+A100)</f>
        <v>-2120</v>
      </c>
      <c r="G100" s="1" t="str">
        <f>IF(F100&gt;0, "TRADE","H")</f>
        <v>H</v>
      </c>
      <c r="H100" s="8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6"/>
    </row>
    <row r="101" ht="15.75" customHeight="1">
      <c r="A101" s="1" t="s">
        <v>0</v>
      </c>
      <c r="B101" s="1" t="s">
        <v>1</v>
      </c>
      <c r="C101" s="2">
        <v>46288.0</v>
      </c>
      <c r="D101" s="1"/>
      <c r="E101" s="1"/>
      <c r="F101" s="1"/>
      <c r="G101" s="1"/>
      <c r="H101" s="8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6"/>
    </row>
    <row r="102" ht="15.75" customHeight="1">
      <c r="A102" s="3" t="s">
        <v>9</v>
      </c>
      <c r="B102" s="3">
        <v>9880.0</v>
      </c>
      <c r="C102" s="1"/>
      <c r="D102" s="1"/>
      <c r="E102" s="1"/>
      <c r="F102" s="1"/>
      <c r="G102" s="1"/>
      <c r="H102" s="8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6"/>
    </row>
    <row r="103" ht="15.75" customHeight="1">
      <c r="A103" s="4">
        <v>88.7</v>
      </c>
      <c r="B103" s="3">
        <v>78.85</v>
      </c>
      <c r="C103" s="1"/>
      <c r="D103" s="1"/>
      <c r="E103" s="1"/>
      <c r="F103" s="1"/>
      <c r="G103" s="1"/>
      <c r="H103" s="8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6"/>
    </row>
    <row r="104" ht="15.75" customHeight="1">
      <c r="A104" s="5" t="str">
        <f>$B$719</f>
        <v/>
      </c>
      <c r="B104" s="5" t="str">
        <f>$A$719</f>
        <v/>
      </c>
      <c r="C104" s="1">
        <v>200.0</v>
      </c>
      <c r="D104" s="1" t="s">
        <v>2</v>
      </c>
      <c r="E104" s="1"/>
      <c r="F104" s="1"/>
      <c r="G104" s="1"/>
      <c r="H104" s="8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6"/>
    </row>
    <row r="105" ht="15.75" customHeight="1">
      <c r="A105" s="3" t="str">
        <f>(A104-A103)*C105</f>
        <v>-17740</v>
      </c>
      <c r="B105" s="3" t="str">
        <f>(B103-B104)*C104</f>
        <v>15770</v>
      </c>
      <c r="C105" s="1">
        <v>200.0</v>
      </c>
      <c r="D105" s="1" t="s">
        <v>3</v>
      </c>
      <c r="E105" s="5" t="str">
        <f>A105</f>
        <v>-$ 17,740.00 </v>
      </c>
      <c r="F105" s="3" t="str">
        <f>(B105+A105)</f>
        <v>-1970</v>
      </c>
      <c r="G105" s="1" t="str">
        <f>IF(F105&gt;0, "TRADE","H")</f>
        <v>H</v>
      </c>
      <c r="H105" s="8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6"/>
    </row>
    <row r="106" ht="15.75" customHeight="1">
      <c r="A106" s="1" t="s">
        <v>0</v>
      </c>
      <c r="B106" s="1" t="s">
        <v>1</v>
      </c>
      <c r="C106" s="2">
        <v>46274.0</v>
      </c>
      <c r="D106" s="1"/>
      <c r="E106" s="1"/>
      <c r="F106" s="1"/>
      <c r="G106" s="1"/>
      <c r="H106" s="8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6"/>
    </row>
    <row r="107" ht="15.75" customHeight="1">
      <c r="A107" s="3">
        <v>9880.0</v>
      </c>
      <c r="B107" s="3" t="s">
        <v>9</v>
      </c>
      <c r="C107" s="1"/>
      <c r="D107" s="1"/>
      <c r="E107" s="1"/>
      <c r="F107" s="1"/>
      <c r="G107" s="1"/>
      <c r="H107" s="8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6"/>
    </row>
    <row r="108" ht="15.75" customHeight="1">
      <c r="A108" s="4">
        <v>84.3</v>
      </c>
      <c r="B108" s="3">
        <v>92.1</v>
      </c>
      <c r="C108" s="1"/>
      <c r="D108" s="1"/>
      <c r="E108" s="1"/>
      <c r="F108" s="1"/>
      <c r="G108" s="1"/>
      <c r="H108" s="8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6"/>
    </row>
    <row r="109" ht="15.75" customHeight="1">
      <c r="A109" s="5" t="str">
        <f>$A$719</f>
        <v/>
      </c>
      <c r="B109" s="5" t="str">
        <f>$B$719</f>
        <v/>
      </c>
      <c r="C109" s="1">
        <v>200.0</v>
      </c>
      <c r="D109" s="1" t="s">
        <v>2</v>
      </c>
      <c r="E109" s="1"/>
      <c r="F109" s="1"/>
      <c r="G109" s="1"/>
      <c r="H109" s="8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6"/>
    </row>
    <row r="110" ht="15.75" customHeight="1">
      <c r="A110" s="3" t="str">
        <f>(A109-A108)*C110</f>
        <v>-16860</v>
      </c>
      <c r="B110" s="3" t="str">
        <f>(B108-B109)*C109</f>
        <v>18420</v>
      </c>
      <c r="C110" s="1">
        <v>200.0</v>
      </c>
      <c r="D110" s="1" t="s">
        <v>3</v>
      </c>
      <c r="E110" s="5" t="str">
        <f>A110</f>
        <v>-$ 16,860.00 </v>
      </c>
      <c r="F110" s="3" t="str">
        <f>(B110+A110)</f>
        <v>1560</v>
      </c>
      <c r="G110" s="1" t="str">
        <f>IF(F110&gt;0, "TRADE","H")</f>
        <v>TRADE</v>
      </c>
      <c r="H110" s="8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6"/>
    </row>
    <row r="111" ht="15.75" customHeight="1">
      <c r="A111" s="1" t="s">
        <v>0</v>
      </c>
      <c r="B111" s="1" t="s">
        <v>1</v>
      </c>
      <c r="C111" s="2">
        <v>46273.0</v>
      </c>
      <c r="D111" s="1"/>
      <c r="E111" s="1"/>
      <c r="F111" s="1"/>
      <c r="G111" s="1"/>
      <c r="H111" s="8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6"/>
    </row>
    <row r="112" ht="15.75" customHeight="1">
      <c r="A112" s="3">
        <v>9880.0</v>
      </c>
      <c r="B112" s="3" t="s">
        <v>9</v>
      </c>
      <c r="C112" s="1"/>
      <c r="D112" s="1"/>
      <c r="E112" s="1"/>
      <c r="F112" s="1"/>
      <c r="G112" s="1"/>
      <c r="H112" s="8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6"/>
    </row>
    <row r="113" ht="15.75" customHeight="1">
      <c r="A113" s="4">
        <v>84.85</v>
      </c>
      <c r="B113" s="3">
        <v>90.0</v>
      </c>
      <c r="C113" s="1"/>
      <c r="D113" s="1"/>
      <c r="E113" s="1"/>
      <c r="F113" s="1"/>
      <c r="G113" s="1"/>
      <c r="H113" s="8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6"/>
    </row>
    <row r="114" ht="15.75" customHeight="1">
      <c r="A114" s="5" t="str">
        <f>$A$719</f>
        <v/>
      </c>
      <c r="B114" s="5" t="str">
        <f>$B$719</f>
        <v/>
      </c>
      <c r="C114" s="1">
        <v>200.0</v>
      </c>
      <c r="D114" s="1" t="s">
        <v>2</v>
      </c>
      <c r="E114" s="1"/>
      <c r="F114" s="1"/>
      <c r="G114" s="1"/>
      <c r="H114" s="8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6"/>
    </row>
    <row r="115" ht="15.75" customHeight="1">
      <c r="A115" s="3" t="str">
        <f>(A114-A113)*C115</f>
        <v>-16970</v>
      </c>
      <c r="B115" s="3" t="str">
        <f>(B113-B114)*C114</f>
        <v>18000</v>
      </c>
      <c r="C115" s="1">
        <v>200.0</v>
      </c>
      <c r="D115" s="1" t="s">
        <v>3</v>
      </c>
      <c r="E115" s="5" t="str">
        <f>A115</f>
        <v>-$ 16,970.00 </v>
      </c>
      <c r="F115" s="3" t="str">
        <f>(B115+A115)</f>
        <v>1030</v>
      </c>
      <c r="G115" s="1" t="str">
        <f>IF(F115&gt;0, "TRADE","H")</f>
        <v>TRADE</v>
      </c>
      <c r="H115" s="8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6"/>
    </row>
    <row r="116" ht="15.75" customHeight="1">
      <c r="A116" s="1" t="s">
        <v>0</v>
      </c>
      <c r="B116" s="1" t="s">
        <v>1</v>
      </c>
      <c r="C116" s="2">
        <v>46253.0</v>
      </c>
      <c r="D116" s="1"/>
      <c r="E116" s="1"/>
      <c r="F116" s="1"/>
      <c r="G116" s="1"/>
      <c r="H116" s="8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6"/>
    </row>
    <row r="117" ht="15.75" customHeight="1">
      <c r="A117" s="3">
        <v>9880.0</v>
      </c>
      <c r="B117" s="3" t="s">
        <v>9</v>
      </c>
      <c r="C117" s="1"/>
      <c r="D117" s="1"/>
      <c r="E117" s="1"/>
      <c r="F117" s="1"/>
      <c r="G117" s="1"/>
      <c r="H117" s="8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6"/>
    </row>
    <row r="118" ht="15.75" customHeight="1">
      <c r="A118" s="4">
        <v>86.75</v>
      </c>
      <c r="B118" s="3">
        <v>87.85</v>
      </c>
      <c r="C118" s="1"/>
      <c r="D118" s="1"/>
      <c r="E118" s="1"/>
      <c r="F118" s="1"/>
      <c r="G118" s="1"/>
      <c r="H118" s="8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6"/>
    </row>
    <row r="119" ht="15.75" customHeight="1">
      <c r="A119" s="5" t="str">
        <f>$A$719</f>
        <v/>
      </c>
      <c r="B119" s="5" t="str">
        <f>$B$719</f>
        <v/>
      </c>
      <c r="C119" s="1">
        <v>200.0</v>
      </c>
      <c r="D119" s="1" t="s">
        <v>2</v>
      </c>
      <c r="E119" s="1"/>
      <c r="F119" s="1"/>
      <c r="G119" s="1"/>
      <c r="H119" s="8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6"/>
    </row>
    <row r="120" ht="15.75" customHeight="1">
      <c r="A120" s="3" t="str">
        <f>(A119-A118)*C120</f>
        <v>-17350</v>
      </c>
      <c r="B120" s="3" t="str">
        <f>(B118-B119)*C119</f>
        <v>17570</v>
      </c>
      <c r="C120" s="1">
        <v>200.0</v>
      </c>
      <c r="D120" s="1" t="s">
        <v>3</v>
      </c>
      <c r="E120" s="5" t="str">
        <f>A120</f>
        <v>-$ 17,350.00 </v>
      </c>
      <c r="F120" s="3" t="str">
        <f>(B120+A120)</f>
        <v>220</v>
      </c>
      <c r="G120" s="1" t="str">
        <f>IF(F120&gt;0, "TRADE","H")</f>
        <v>TRADE</v>
      </c>
      <c r="H120" s="8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6"/>
    </row>
    <row r="121" ht="15.75" customHeight="1">
      <c r="A121" s="1" t="s">
        <v>0</v>
      </c>
      <c r="B121" s="1" t="s">
        <v>1</v>
      </c>
      <c r="C121" s="2">
        <v>45996.0</v>
      </c>
      <c r="D121" s="1"/>
      <c r="E121" s="1"/>
      <c r="F121" s="1"/>
      <c r="G121" s="1"/>
      <c r="H121" s="1"/>
      <c r="I121" s="1"/>
      <c r="J121" s="1"/>
      <c r="K121" s="6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3">
        <v>2522.0</v>
      </c>
      <c r="B122" s="3">
        <v>2587.0</v>
      </c>
      <c r="C122" s="1"/>
      <c r="D122" s="1"/>
      <c r="E122" s="1"/>
      <c r="F122" s="1"/>
      <c r="G122" s="1"/>
      <c r="H122" s="1"/>
      <c r="I122" s="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4">
        <v>10.65</v>
      </c>
      <c r="B123" s="3">
        <v>4.93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5" t="str">
        <f>$A$914</f>
        <v/>
      </c>
      <c r="B124" s="5" t="str">
        <f>$B$914</f>
        <v/>
      </c>
      <c r="C124" s="7">
        <v>500.0</v>
      </c>
      <c r="D124" s="1"/>
      <c r="E124" s="1"/>
      <c r="F124" s="1"/>
      <c r="G124" s="1"/>
      <c r="H124" s="8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6"/>
      <c r="Z124" s="1"/>
    </row>
    <row r="125" ht="15.75" customHeight="1">
      <c r="A125" s="3" t="str">
        <f>(A124-A123)*C125</f>
        <v>-5325</v>
      </c>
      <c r="B125" s="5" t="str">
        <f>C124*(B123-B124)</f>
        <v> $ 2,465.00 </v>
      </c>
      <c r="C125" s="7">
        <v>500.0</v>
      </c>
      <c r="D125" s="1"/>
      <c r="E125" s="5" t="str">
        <f>A125</f>
        <v>-$ 5,325.00 </v>
      </c>
      <c r="F125" s="5" t="str">
        <f>(B125+A125)</f>
        <v>-$ 2,860.00 </v>
      </c>
      <c r="G125" s="1" t="str">
        <f>IF(F125&gt;0, "TRADE","H")</f>
        <v>H</v>
      </c>
      <c r="H125" s="8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6"/>
      <c r="Z125" s="1"/>
    </row>
    <row r="126" ht="15.75" customHeight="1">
      <c r="A126" s="1" t="s">
        <v>0</v>
      </c>
      <c r="B126" s="1" t="s">
        <v>1</v>
      </c>
      <c r="C126" s="2">
        <v>46286.0</v>
      </c>
      <c r="D126" s="1"/>
      <c r="E126" s="1"/>
      <c r="F126" s="1"/>
      <c r="G126" s="1"/>
      <c r="H126" s="1"/>
      <c r="I126" s="1"/>
      <c r="J126" s="1"/>
      <c r="K126" s="6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3">
        <v>2587.0</v>
      </c>
      <c r="B127" s="3">
        <v>2522.0</v>
      </c>
      <c r="C127" s="1"/>
      <c r="D127" s="1"/>
      <c r="E127" s="1"/>
      <c r="F127" s="1"/>
      <c r="G127" s="1"/>
      <c r="H127" s="1"/>
      <c r="I127" s="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4">
        <v>0.83</v>
      </c>
      <c r="B128" s="3">
        <v>5.58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5" t="str">
        <f>$B$914</f>
        <v/>
      </c>
      <c r="B129" s="5" t="str">
        <f>$A$914</f>
        <v/>
      </c>
      <c r="C129" s="7">
        <v>500.0</v>
      </c>
      <c r="D129" s="1"/>
      <c r="E129" s="1"/>
      <c r="F129" s="1"/>
      <c r="G129" s="1"/>
      <c r="H129" s="8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6"/>
      <c r="Z129" s="1"/>
    </row>
    <row r="130" ht="15.75" customHeight="1">
      <c r="A130" s="3" t="str">
        <f>(A129-A128)*C130</f>
        <v>-415</v>
      </c>
      <c r="B130" s="5" t="str">
        <f>C129*(B128-B129)</f>
        <v> $ 2,790.00 </v>
      </c>
      <c r="C130" s="7">
        <v>500.0</v>
      </c>
      <c r="D130" s="1"/>
      <c r="E130" s="5" t="str">
        <f>A130</f>
        <v>-$ 415.00 </v>
      </c>
      <c r="F130" s="5" t="str">
        <f>(B130+A130)</f>
        <v> $ 2,375.00 </v>
      </c>
      <c r="G130" s="1" t="str">
        <f>IF(F130&gt;0, "TRADE","H")</f>
        <v>TRADE</v>
      </c>
      <c r="H130" s="8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6"/>
      <c r="Z130" s="1"/>
    </row>
    <row r="131" ht="15.75" customHeight="1">
      <c r="A131" s="1" t="s">
        <v>0</v>
      </c>
      <c r="B131" s="1" t="s">
        <v>1</v>
      </c>
      <c r="C131" s="2">
        <v>46282.0</v>
      </c>
      <c r="D131" s="1"/>
      <c r="E131" s="1"/>
      <c r="F131" s="1"/>
      <c r="G131" s="1"/>
      <c r="H131" s="1"/>
      <c r="I131" s="1"/>
      <c r="J131" s="1"/>
      <c r="K131" s="6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3">
        <v>2587.0</v>
      </c>
      <c r="B132" s="3">
        <v>2522.0</v>
      </c>
      <c r="C132" s="1"/>
      <c r="D132" s="1"/>
      <c r="E132" s="1"/>
      <c r="F132" s="1"/>
      <c r="G132" s="1"/>
      <c r="H132" s="1"/>
      <c r="I132" s="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4">
        <v>0.855</v>
      </c>
      <c r="B133" s="3">
        <v>5.16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6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5" t="str">
        <f>$B$914</f>
        <v/>
      </c>
      <c r="B134" s="5" t="str">
        <f>$A$914</f>
        <v/>
      </c>
      <c r="C134" s="7">
        <v>500.0</v>
      </c>
      <c r="D134" s="1"/>
      <c r="E134" s="1"/>
      <c r="F134" s="1"/>
      <c r="G134" s="1"/>
      <c r="H134" s="8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6"/>
      <c r="Z134" s="1"/>
    </row>
    <row r="135" ht="15.75" customHeight="1">
      <c r="A135" s="3" t="str">
        <f>(A134-A133)*C135</f>
        <v>-427.5</v>
      </c>
      <c r="B135" s="5" t="str">
        <f>C134*(B133-B134)</f>
        <v> $ 2,580.00 </v>
      </c>
      <c r="C135" s="7">
        <v>500.0</v>
      </c>
      <c r="D135" s="1"/>
      <c r="E135" s="5" t="str">
        <f>A135</f>
        <v>-$ 427.50 </v>
      </c>
      <c r="F135" s="5" t="str">
        <f>(B135+A135)</f>
        <v> $ 2,152.50 </v>
      </c>
      <c r="G135" s="1" t="str">
        <f>IF(F135&gt;0, "TRADE","H")</f>
        <v>TRADE</v>
      </c>
      <c r="H135" s="8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6"/>
      <c r="Z135" s="1"/>
    </row>
    <row r="136" ht="15.75" customHeight="1">
      <c r="A136" s="1" t="s">
        <v>0</v>
      </c>
      <c r="B136" s="1" t="s">
        <v>1</v>
      </c>
      <c r="C136" s="2">
        <v>46274.0</v>
      </c>
      <c r="D136" s="1"/>
      <c r="E136" s="1"/>
      <c r="F136" s="1"/>
      <c r="G136" s="1"/>
      <c r="H136" s="1"/>
      <c r="I136" s="1"/>
      <c r="J136" s="1"/>
      <c r="K136" s="6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3">
        <v>2587.0</v>
      </c>
      <c r="B137" s="3">
        <v>2522.0</v>
      </c>
      <c r="C137" s="1"/>
      <c r="D137" s="1"/>
      <c r="E137" s="1"/>
      <c r="F137" s="1"/>
      <c r="G137" s="1"/>
      <c r="H137" s="1"/>
      <c r="I137" s="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4">
        <v>1.04</v>
      </c>
      <c r="B138" s="3">
        <v>5.205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5" t="str">
        <f>$B$914</f>
        <v/>
      </c>
      <c r="B139" s="5" t="str">
        <f>$A$914</f>
        <v/>
      </c>
      <c r="C139" s="7">
        <v>500.0</v>
      </c>
      <c r="D139" s="1"/>
      <c r="E139" s="1"/>
      <c r="F139" s="1"/>
      <c r="G139" s="1"/>
      <c r="H139" s="8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6"/>
      <c r="Z139" s="1"/>
    </row>
    <row r="140" ht="15.75" customHeight="1">
      <c r="A140" s="3" t="str">
        <f>(A139-A138)*C140</f>
        <v>-520</v>
      </c>
      <c r="B140" s="5" t="str">
        <f>C139*(B138-B139)</f>
        <v> $ 2,602.50 </v>
      </c>
      <c r="C140" s="7">
        <v>500.0</v>
      </c>
      <c r="D140" s="1"/>
      <c r="E140" s="5" t="str">
        <f>A140</f>
        <v>-$ 520.00 </v>
      </c>
      <c r="F140" s="5" t="str">
        <f>(B140+A140)</f>
        <v> $ 2,082.50 </v>
      </c>
      <c r="G140" s="1" t="str">
        <f>IF(F140&gt;0, "TRADE","H")</f>
        <v>TRADE</v>
      </c>
      <c r="H140" s="8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6"/>
      <c r="Z140" s="1"/>
    </row>
    <row r="141" ht="15.75" customHeight="1">
      <c r="A141" s="1" t="s">
        <v>0</v>
      </c>
      <c r="B141" s="1" t="s">
        <v>1</v>
      </c>
      <c r="C141" s="2">
        <v>46274.0</v>
      </c>
      <c r="D141" s="1"/>
      <c r="E141" s="1"/>
      <c r="F141" s="1"/>
      <c r="G141" s="1"/>
      <c r="H141" s="1"/>
      <c r="I141" s="1"/>
      <c r="J141" s="1"/>
      <c r="K141" s="6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3">
        <v>2587.0</v>
      </c>
      <c r="B142" s="3">
        <v>2522.0</v>
      </c>
      <c r="C142" s="1"/>
      <c r="D142" s="1"/>
      <c r="E142" s="1"/>
      <c r="F142" s="1"/>
      <c r="G142" s="1"/>
      <c r="H142" s="1"/>
      <c r="I142" s="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4">
        <v>1.065</v>
      </c>
      <c r="B143" s="3">
        <v>5.015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6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5" t="str">
        <f>$B$914</f>
        <v/>
      </c>
      <c r="B144" s="5" t="str">
        <f>$A$914</f>
        <v/>
      </c>
      <c r="C144" s="7">
        <v>500.0</v>
      </c>
      <c r="D144" s="1"/>
      <c r="E144" s="1"/>
      <c r="F144" s="1"/>
      <c r="G144" s="1"/>
      <c r="H144" s="8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6"/>
      <c r="Z144" s="1"/>
    </row>
    <row r="145" ht="15.75" customHeight="1">
      <c r="A145" s="3" t="str">
        <f>(A144-A143)*C145</f>
        <v>-532.5</v>
      </c>
      <c r="B145" s="5" t="str">
        <f>C144*(B143-B144)</f>
        <v> $ 2,507.50 </v>
      </c>
      <c r="C145" s="7">
        <v>500.0</v>
      </c>
      <c r="D145" s="1"/>
      <c r="E145" s="5" t="str">
        <f>A145</f>
        <v>-$ 532.50 </v>
      </c>
      <c r="F145" s="5" t="str">
        <f>(B145+A145)</f>
        <v> $ 1,975.00 </v>
      </c>
      <c r="G145" s="1" t="str">
        <f>IF(F145&gt;0, "TRADE","H")</f>
        <v>TRADE</v>
      </c>
      <c r="H145" s="8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6"/>
      <c r="Z145" s="1"/>
    </row>
  </sheetData>
  <conditionalFormatting sqref="F10">
    <cfRule type="cellIs" dxfId="0" priority="1" operator="lessThan">
      <formula>-4100</formula>
    </cfRule>
  </conditionalFormatting>
  <conditionalFormatting sqref="F10">
    <cfRule type="cellIs" dxfId="1" priority="2" operator="greaterThanOrEqual">
      <formula>0</formula>
    </cfRule>
  </conditionalFormatting>
  <conditionalFormatting sqref="F10">
    <cfRule type="cellIs" dxfId="1" priority="3" operator="greaterThanOrEqual">
      <formula>0</formula>
    </cfRule>
  </conditionalFormatting>
  <conditionalFormatting sqref="F10">
    <cfRule type="cellIs" dxfId="0" priority="4" operator="lessThan">
      <formula>-4100</formula>
    </cfRule>
  </conditionalFormatting>
  <conditionalFormatting sqref="F10">
    <cfRule type="cellIs" dxfId="1" priority="5" operator="greaterThanOrEqual">
      <formula>0</formula>
    </cfRule>
  </conditionalFormatting>
  <conditionalFormatting sqref="F10">
    <cfRule type="cellIs" dxfId="0" priority="6" operator="lessThan">
      <formula>-4100</formula>
    </cfRule>
  </conditionalFormatting>
  <conditionalFormatting sqref="F10">
    <cfRule type="cellIs" dxfId="1" priority="7" operator="greaterThanOrEqual">
      <formula>0</formula>
    </cfRule>
  </conditionalFormatting>
  <conditionalFormatting sqref="F10">
    <cfRule type="cellIs" dxfId="0" priority="8" operator="lessThan">
      <formula>-4100</formula>
    </cfRule>
  </conditionalFormatting>
  <conditionalFormatting sqref="F10">
    <cfRule type="cellIs" dxfId="1" priority="9" operator="greaterThanOrEqual">
      <formula>0</formula>
    </cfRule>
  </conditionalFormatting>
  <conditionalFormatting sqref="F10">
    <cfRule type="cellIs" dxfId="0" priority="10" operator="lessThan">
      <formula>-4100</formula>
    </cfRule>
  </conditionalFormatting>
  <conditionalFormatting sqref="F10">
    <cfRule type="cellIs" dxfId="0" priority="11" operator="lessThan">
      <formula>-4100</formula>
    </cfRule>
  </conditionalFormatting>
  <conditionalFormatting sqref="F10">
    <cfRule type="cellIs" dxfId="1" priority="12" operator="greaterThanOrEqual">
      <formula>0</formula>
    </cfRule>
  </conditionalFormatting>
  <conditionalFormatting sqref="F10">
    <cfRule type="cellIs" dxfId="1" priority="13" operator="greaterThanOrEqual">
      <formula>0</formula>
    </cfRule>
  </conditionalFormatting>
  <conditionalFormatting sqref="F10">
    <cfRule type="cellIs" dxfId="0" priority="14" operator="lessThan">
      <formula>-4100</formula>
    </cfRule>
  </conditionalFormatting>
  <conditionalFormatting sqref="F10">
    <cfRule type="cellIs" dxfId="1" priority="15" operator="greaterThanOrEqual">
      <formula>0</formula>
    </cfRule>
  </conditionalFormatting>
  <conditionalFormatting sqref="F10">
    <cfRule type="cellIs" dxfId="0" priority="16" operator="lessThan">
      <formula>-4100</formula>
    </cfRule>
  </conditionalFormatting>
  <conditionalFormatting sqref="E10">
    <cfRule type="cellIs" dxfId="2" priority="17" operator="greaterThan">
      <formula>0</formula>
    </cfRule>
  </conditionalFormatting>
  <conditionalFormatting sqref="F5">
    <cfRule type="cellIs" dxfId="0" priority="18" operator="lessThan">
      <formula>-4100</formula>
    </cfRule>
  </conditionalFormatting>
  <conditionalFormatting sqref="F5">
    <cfRule type="cellIs" dxfId="1" priority="19" operator="greaterThanOrEqual">
      <formula>0</formula>
    </cfRule>
  </conditionalFormatting>
  <conditionalFormatting sqref="F5">
    <cfRule type="cellIs" dxfId="1" priority="20" operator="greaterThanOrEqual">
      <formula>0</formula>
    </cfRule>
  </conditionalFormatting>
  <conditionalFormatting sqref="F5">
    <cfRule type="cellIs" dxfId="0" priority="21" operator="lessThan">
      <formula>-4100</formula>
    </cfRule>
  </conditionalFormatting>
  <conditionalFormatting sqref="F5">
    <cfRule type="cellIs" dxfId="1" priority="22" operator="greaterThanOrEqual">
      <formula>0</formula>
    </cfRule>
  </conditionalFormatting>
  <conditionalFormatting sqref="F5">
    <cfRule type="cellIs" dxfId="0" priority="23" operator="lessThan">
      <formula>-4100</formula>
    </cfRule>
  </conditionalFormatting>
  <conditionalFormatting sqref="F5">
    <cfRule type="cellIs" dxfId="1" priority="24" operator="greaterThanOrEqual">
      <formula>0</formula>
    </cfRule>
  </conditionalFormatting>
  <conditionalFormatting sqref="F5">
    <cfRule type="cellIs" dxfId="0" priority="25" operator="lessThan">
      <formula>-4100</formula>
    </cfRule>
  </conditionalFormatting>
  <conditionalFormatting sqref="F5">
    <cfRule type="cellIs" dxfId="1" priority="26" operator="greaterThanOrEqual">
      <formula>0</formula>
    </cfRule>
  </conditionalFormatting>
  <conditionalFormatting sqref="F5">
    <cfRule type="cellIs" dxfId="0" priority="27" operator="lessThan">
      <formula>-4100</formula>
    </cfRule>
  </conditionalFormatting>
  <conditionalFormatting sqref="F5">
    <cfRule type="cellIs" dxfId="0" priority="28" operator="lessThan">
      <formula>-4100</formula>
    </cfRule>
  </conditionalFormatting>
  <conditionalFormatting sqref="F5">
    <cfRule type="cellIs" dxfId="1" priority="29" operator="greaterThanOrEqual">
      <formula>0</formula>
    </cfRule>
  </conditionalFormatting>
  <conditionalFormatting sqref="F5">
    <cfRule type="cellIs" dxfId="1" priority="30" operator="greaterThanOrEqual">
      <formula>0</formula>
    </cfRule>
  </conditionalFormatting>
  <conditionalFormatting sqref="F5">
    <cfRule type="cellIs" dxfId="0" priority="31" operator="lessThan">
      <formula>-4100</formula>
    </cfRule>
  </conditionalFormatting>
  <conditionalFormatting sqref="F5">
    <cfRule type="cellIs" dxfId="1" priority="32" operator="greaterThanOrEqual">
      <formula>0</formula>
    </cfRule>
  </conditionalFormatting>
  <conditionalFormatting sqref="F5">
    <cfRule type="cellIs" dxfId="0" priority="33" operator="lessThan">
      <formula>-4100</formula>
    </cfRule>
  </conditionalFormatting>
  <conditionalFormatting sqref="E5">
    <cfRule type="cellIs" dxfId="2" priority="34" operator="greaterThan">
      <formula>0</formula>
    </cfRule>
  </conditionalFormatting>
  <conditionalFormatting sqref="F35">
    <cfRule type="cellIs" dxfId="0" priority="35" operator="lessThan">
      <formula>-4100</formula>
    </cfRule>
  </conditionalFormatting>
  <conditionalFormatting sqref="F35">
    <cfRule type="cellIs" dxfId="1" priority="36" operator="greaterThanOrEqual">
      <formula>0</formula>
    </cfRule>
  </conditionalFormatting>
  <conditionalFormatting sqref="F35">
    <cfRule type="cellIs" dxfId="1" priority="37" operator="greaterThanOrEqual">
      <formula>0</formula>
    </cfRule>
  </conditionalFormatting>
  <conditionalFormatting sqref="F35">
    <cfRule type="cellIs" dxfId="0" priority="38" operator="lessThan">
      <formula>-4100</formula>
    </cfRule>
  </conditionalFormatting>
  <conditionalFormatting sqref="F35">
    <cfRule type="cellIs" dxfId="1" priority="39" operator="greaterThanOrEqual">
      <formula>0</formula>
    </cfRule>
  </conditionalFormatting>
  <conditionalFormatting sqref="F35">
    <cfRule type="cellIs" dxfId="0" priority="40" operator="lessThan">
      <formula>-4100</formula>
    </cfRule>
  </conditionalFormatting>
  <conditionalFormatting sqref="F35">
    <cfRule type="cellIs" dxfId="1" priority="41" operator="greaterThanOrEqual">
      <formula>0</formula>
    </cfRule>
  </conditionalFormatting>
  <conditionalFormatting sqref="F35">
    <cfRule type="cellIs" dxfId="0" priority="42" operator="lessThan">
      <formula>-4100</formula>
    </cfRule>
  </conditionalFormatting>
  <conditionalFormatting sqref="F35">
    <cfRule type="cellIs" dxfId="1" priority="43" operator="greaterThanOrEqual">
      <formula>0</formula>
    </cfRule>
  </conditionalFormatting>
  <conditionalFormatting sqref="F35">
    <cfRule type="cellIs" dxfId="0" priority="44" operator="lessThan">
      <formula>-4100</formula>
    </cfRule>
  </conditionalFormatting>
  <conditionalFormatting sqref="F35">
    <cfRule type="cellIs" dxfId="0" priority="45" operator="lessThan">
      <formula>-4100</formula>
    </cfRule>
  </conditionalFormatting>
  <conditionalFormatting sqref="F35">
    <cfRule type="cellIs" dxfId="1" priority="46" operator="greaterThanOrEqual">
      <formula>0</formula>
    </cfRule>
  </conditionalFormatting>
  <conditionalFormatting sqref="F35">
    <cfRule type="cellIs" dxfId="1" priority="47" operator="greaterThanOrEqual">
      <formula>0</formula>
    </cfRule>
  </conditionalFormatting>
  <conditionalFormatting sqref="F35">
    <cfRule type="cellIs" dxfId="0" priority="48" operator="lessThan">
      <formula>-4100</formula>
    </cfRule>
  </conditionalFormatting>
  <conditionalFormatting sqref="F35">
    <cfRule type="cellIs" dxfId="1" priority="49" operator="greaterThanOrEqual">
      <formula>0</formula>
    </cfRule>
  </conditionalFormatting>
  <conditionalFormatting sqref="F35">
    <cfRule type="cellIs" dxfId="0" priority="50" operator="lessThan">
      <formula>-4100</formula>
    </cfRule>
  </conditionalFormatting>
  <conditionalFormatting sqref="E35">
    <cfRule type="cellIs" dxfId="2" priority="51" operator="greaterThan">
      <formula>0</formula>
    </cfRule>
  </conditionalFormatting>
  <conditionalFormatting sqref="F15">
    <cfRule type="cellIs" dxfId="0" priority="52" operator="lessThan">
      <formula>-4100</formula>
    </cfRule>
  </conditionalFormatting>
  <conditionalFormatting sqref="F15">
    <cfRule type="cellIs" dxfId="1" priority="53" operator="greaterThanOrEqual">
      <formula>0</formula>
    </cfRule>
  </conditionalFormatting>
  <conditionalFormatting sqref="F15">
    <cfRule type="cellIs" dxfId="1" priority="54" operator="greaterThanOrEqual">
      <formula>0</formula>
    </cfRule>
  </conditionalFormatting>
  <conditionalFormatting sqref="F15">
    <cfRule type="cellIs" dxfId="0" priority="55" operator="lessThan">
      <formula>-4100</formula>
    </cfRule>
  </conditionalFormatting>
  <conditionalFormatting sqref="F15">
    <cfRule type="cellIs" dxfId="1" priority="56" operator="greaterThanOrEqual">
      <formula>0</formula>
    </cfRule>
  </conditionalFormatting>
  <conditionalFormatting sqref="F15">
    <cfRule type="cellIs" dxfId="0" priority="57" operator="lessThan">
      <formula>-4100</formula>
    </cfRule>
  </conditionalFormatting>
  <conditionalFormatting sqref="F15">
    <cfRule type="cellIs" dxfId="1" priority="58" operator="greaterThanOrEqual">
      <formula>0</formula>
    </cfRule>
  </conditionalFormatting>
  <conditionalFormatting sqref="F15">
    <cfRule type="cellIs" dxfId="0" priority="59" operator="lessThan">
      <formula>-4100</formula>
    </cfRule>
  </conditionalFormatting>
  <conditionalFormatting sqref="F15">
    <cfRule type="cellIs" dxfId="1" priority="60" operator="greaterThanOrEqual">
      <formula>0</formula>
    </cfRule>
  </conditionalFormatting>
  <conditionalFormatting sqref="F15">
    <cfRule type="cellIs" dxfId="0" priority="61" operator="lessThan">
      <formula>-4100</formula>
    </cfRule>
  </conditionalFormatting>
  <conditionalFormatting sqref="F15">
    <cfRule type="cellIs" dxfId="0" priority="62" operator="lessThan">
      <formula>-4100</formula>
    </cfRule>
  </conditionalFormatting>
  <conditionalFormatting sqref="F15">
    <cfRule type="cellIs" dxfId="1" priority="63" operator="greaterThanOrEqual">
      <formula>0</formula>
    </cfRule>
  </conditionalFormatting>
  <conditionalFormatting sqref="F15">
    <cfRule type="cellIs" dxfId="1" priority="64" operator="greaterThanOrEqual">
      <formula>0</formula>
    </cfRule>
  </conditionalFormatting>
  <conditionalFormatting sqref="F15">
    <cfRule type="cellIs" dxfId="0" priority="65" operator="lessThan">
      <formula>-4100</formula>
    </cfRule>
  </conditionalFormatting>
  <conditionalFormatting sqref="F15">
    <cfRule type="cellIs" dxfId="1" priority="66" operator="greaterThanOrEqual">
      <formula>0</formula>
    </cfRule>
  </conditionalFormatting>
  <conditionalFormatting sqref="F15">
    <cfRule type="cellIs" dxfId="0" priority="67" operator="lessThan">
      <formula>-4100</formula>
    </cfRule>
  </conditionalFormatting>
  <conditionalFormatting sqref="E15">
    <cfRule type="cellIs" dxfId="2" priority="68" operator="greaterThan">
      <formula>0</formula>
    </cfRule>
  </conditionalFormatting>
  <conditionalFormatting sqref="F20">
    <cfRule type="cellIs" dxfId="0" priority="69" operator="lessThan">
      <formula>-4100</formula>
    </cfRule>
  </conditionalFormatting>
  <conditionalFormatting sqref="F20">
    <cfRule type="cellIs" dxfId="1" priority="70" operator="greaterThanOrEqual">
      <formula>0</formula>
    </cfRule>
  </conditionalFormatting>
  <conditionalFormatting sqref="F20">
    <cfRule type="cellIs" dxfId="1" priority="71" operator="greaterThanOrEqual">
      <formula>0</formula>
    </cfRule>
  </conditionalFormatting>
  <conditionalFormatting sqref="F20">
    <cfRule type="cellIs" dxfId="0" priority="72" operator="lessThan">
      <formula>-4100</formula>
    </cfRule>
  </conditionalFormatting>
  <conditionalFormatting sqref="F20">
    <cfRule type="cellIs" dxfId="1" priority="73" operator="greaterThanOrEqual">
      <formula>0</formula>
    </cfRule>
  </conditionalFormatting>
  <conditionalFormatting sqref="F20">
    <cfRule type="cellIs" dxfId="0" priority="74" operator="lessThan">
      <formula>-4100</formula>
    </cfRule>
  </conditionalFormatting>
  <conditionalFormatting sqref="F20">
    <cfRule type="cellIs" dxfId="1" priority="75" operator="greaterThanOrEqual">
      <formula>0</formula>
    </cfRule>
  </conditionalFormatting>
  <conditionalFormatting sqref="F20">
    <cfRule type="cellIs" dxfId="0" priority="76" operator="lessThan">
      <formula>-4100</formula>
    </cfRule>
  </conditionalFormatting>
  <conditionalFormatting sqref="F20">
    <cfRule type="cellIs" dxfId="1" priority="77" operator="greaterThanOrEqual">
      <formula>0</formula>
    </cfRule>
  </conditionalFormatting>
  <conditionalFormatting sqref="F20">
    <cfRule type="cellIs" dxfId="0" priority="78" operator="lessThan">
      <formula>-4100</formula>
    </cfRule>
  </conditionalFormatting>
  <conditionalFormatting sqref="F20">
    <cfRule type="cellIs" dxfId="0" priority="79" operator="lessThan">
      <formula>-4100</formula>
    </cfRule>
  </conditionalFormatting>
  <conditionalFormatting sqref="F20">
    <cfRule type="cellIs" dxfId="1" priority="80" operator="greaterThanOrEqual">
      <formula>0</formula>
    </cfRule>
  </conditionalFormatting>
  <conditionalFormatting sqref="F20">
    <cfRule type="cellIs" dxfId="1" priority="81" operator="greaterThanOrEqual">
      <formula>0</formula>
    </cfRule>
  </conditionalFormatting>
  <conditionalFormatting sqref="F20">
    <cfRule type="cellIs" dxfId="0" priority="82" operator="lessThan">
      <formula>-4100</formula>
    </cfRule>
  </conditionalFormatting>
  <conditionalFormatting sqref="F20">
    <cfRule type="cellIs" dxfId="1" priority="83" operator="greaterThanOrEqual">
      <formula>0</formula>
    </cfRule>
  </conditionalFormatting>
  <conditionalFormatting sqref="F20">
    <cfRule type="cellIs" dxfId="0" priority="84" operator="lessThan">
      <formula>-4100</formula>
    </cfRule>
  </conditionalFormatting>
  <conditionalFormatting sqref="E20">
    <cfRule type="cellIs" dxfId="2" priority="85" operator="greaterThan">
      <formula>0</formula>
    </cfRule>
  </conditionalFormatting>
  <conditionalFormatting sqref="F25">
    <cfRule type="cellIs" dxfId="0" priority="86" operator="lessThan">
      <formula>-4100</formula>
    </cfRule>
  </conditionalFormatting>
  <conditionalFormatting sqref="F25">
    <cfRule type="cellIs" dxfId="1" priority="87" operator="greaterThanOrEqual">
      <formula>0</formula>
    </cfRule>
  </conditionalFormatting>
  <conditionalFormatting sqref="F25">
    <cfRule type="cellIs" dxfId="1" priority="88" operator="greaterThanOrEqual">
      <formula>0</formula>
    </cfRule>
  </conditionalFormatting>
  <conditionalFormatting sqref="F25">
    <cfRule type="cellIs" dxfId="0" priority="89" operator="lessThan">
      <formula>-4100</formula>
    </cfRule>
  </conditionalFormatting>
  <conditionalFormatting sqref="F25">
    <cfRule type="cellIs" dxfId="1" priority="90" operator="greaterThanOrEqual">
      <formula>0</formula>
    </cfRule>
  </conditionalFormatting>
  <conditionalFormatting sqref="F25">
    <cfRule type="cellIs" dxfId="0" priority="91" operator="lessThan">
      <formula>-4100</formula>
    </cfRule>
  </conditionalFormatting>
  <conditionalFormatting sqref="F25">
    <cfRule type="cellIs" dxfId="1" priority="92" operator="greaterThanOrEqual">
      <formula>0</formula>
    </cfRule>
  </conditionalFormatting>
  <conditionalFormatting sqref="F25">
    <cfRule type="cellIs" dxfId="0" priority="93" operator="lessThan">
      <formula>-4100</formula>
    </cfRule>
  </conditionalFormatting>
  <conditionalFormatting sqref="F25">
    <cfRule type="cellIs" dxfId="1" priority="94" operator="greaterThanOrEqual">
      <formula>0</formula>
    </cfRule>
  </conditionalFormatting>
  <conditionalFormatting sqref="F25">
    <cfRule type="cellIs" dxfId="0" priority="95" operator="lessThan">
      <formula>-4100</formula>
    </cfRule>
  </conditionalFormatting>
  <conditionalFormatting sqref="F25">
    <cfRule type="cellIs" dxfId="0" priority="96" operator="lessThan">
      <formula>-4100</formula>
    </cfRule>
  </conditionalFormatting>
  <conditionalFormatting sqref="F25">
    <cfRule type="cellIs" dxfId="1" priority="97" operator="greaterThanOrEqual">
      <formula>0</formula>
    </cfRule>
  </conditionalFormatting>
  <conditionalFormatting sqref="F25">
    <cfRule type="cellIs" dxfId="1" priority="98" operator="greaterThanOrEqual">
      <formula>0</formula>
    </cfRule>
  </conditionalFormatting>
  <conditionalFormatting sqref="F25">
    <cfRule type="cellIs" dxfId="0" priority="99" operator="lessThan">
      <formula>-4100</formula>
    </cfRule>
  </conditionalFormatting>
  <conditionalFormatting sqref="F25">
    <cfRule type="cellIs" dxfId="1" priority="100" operator="greaterThanOrEqual">
      <formula>0</formula>
    </cfRule>
  </conditionalFormatting>
  <conditionalFormatting sqref="F25">
    <cfRule type="cellIs" dxfId="0" priority="101" operator="lessThan">
      <formula>-4100</formula>
    </cfRule>
  </conditionalFormatting>
  <conditionalFormatting sqref="E25">
    <cfRule type="cellIs" dxfId="2" priority="102" operator="greaterThan">
      <formula>0</formula>
    </cfRule>
  </conditionalFormatting>
  <conditionalFormatting sqref="F30">
    <cfRule type="cellIs" dxfId="0" priority="103" operator="lessThan">
      <formula>-4100</formula>
    </cfRule>
  </conditionalFormatting>
  <conditionalFormatting sqref="F30">
    <cfRule type="cellIs" dxfId="1" priority="104" operator="greaterThanOrEqual">
      <formula>0</formula>
    </cfRule>
  </conditionalFormatting>
  <conditionalFormatting sqref="F30">
    <cfRule type="cellIs" dxfId="1" priority="105" operator="greaterThanOrEqual">
      <formula>0</formula>
    </cfRule>
  </conditionalFormatting>
  <conditionalFormatting sqref="F30">
    <cfRule type="cellIs" dxfId="0" priority="106" operator="lessThan">
      <formula>-4100</formula>
    </cfRule>
  </conditionalFormatting>
  <conditionalFormatting sqref="F30">
    <cfRule type="cellIs" dxfId="1" priority="107" operator="greaterThanOrEqual">
      <formula>0</formula>
    </cfRule>
  </conditionalFormatting>
  <conditionalFormatting sqref="F30">
    <cfRule type="cellIs" dxfId="0" priority="108" operator="lessThan">
      <formula>-4100</formula>
    </cfRule>
  </conditionalFormatting>
  <conditionalFormatting sqref="F30">
    <cfRule type="cellIs" dxfId="1" priority="109" operator="greaterThanOrEqual">
      <formula>0</formula>
    </cfRule>
  </conditionalFormatting>
  <conditionalFormatting sqref="F30">
    <cfRule type="cellIs" dxfId="0" priority="110" operator="lessThan">
      <formula>-4100</formula>
    </cfRule>
  </conditionalFormatting>
  <conditionalFormatting sqref="F30">
    <cfRule type="cellIs" dxfId="1" priority="111" operator="greaterThanOrEqual">
      <formula>0</formula>
    </cfRule>
  </conditionalFormatting>
  <conditionalFormatting sqref="F30">
    <cfRule type="cellIs" dxfId="0" priority="112" operator="lessThan">
      <formula>-4100</formula>
    </cfRule>
  </conditionalFormatting>
  <conditionalFormatting sqref="F30">
    <cfRule type="cellIs" dxfId="0" priority="113" operator="lessThan">
      <formula>-4100</formula>
    </cfRule>
  </conditionalFormatting>
  <conditionalFormatting sqref="F30">
    <cfRule type="cellIs" dxfId="1" priority="114" operator="greaterThanOrEqual">
      <formula>0</formula>
    </cfRule>
  </conditionalFormatting>
  <conditionalFormatting sqref="F30">
    <cfRule type="cellIs" dxfId="1" priority="115" operator="greaterThanOrEqual">
      <formula>0</formula>
    </cfRule>
  </conditionalFormatting>
  <conditionalFormatting sqref="F30">
    <cfRule type="cellIs" dxfId="0" priority="116" operator="lessThan">
      <formula>-4100</formula>
    </cfRule>
  </conditionalFormatting>
  <conditionalFormatting sqref="F30">
    <cfRule type="cellIs" dxfId="1" priority="117" operator="greaterThanOrEqual">
      <formula>0</formula>
    </cfRule>
  </conditionalFormatting>
  <conditionalFormatting sqref="F30">
    <cfRule type="cellIs" dxfId="0" priority="118" operator="lessThan">
      <formula>-4100</formula>
    </cfRule>
  </conditionalFormatting>
  <conditionalFormatting sqref="E30">
    <cfRule type="cellIs" dxfId="2" priority="119" operator="greaterThan">
      <formula>0</formula>
    </cfRule>
  </conditionalFormatting>
  <conditionalFormatting sqref="F40">
    <cfRule type="cellIs" dxfId="0" priority="120" operator="lessThan">
      <formula>-4100</formula>
    </cfRule>
  </conditionalFormatting>
  <conditionalFormatting sqref="F40">
    <cfRule type="cellIs" dxfId="1" priority="121" operator="greaterThanOrEqual">
      <formula>0</formula>
    </cfRule>
  </conditionalFormatting>
  <conditionalFormatting sqref="F40">
    <cfRule type="cellIs" dxfId="1" priority="122" operator="greaterThanOrEqual">
      <formula>0</formula>
    </cfRule>
  </conditionalFormatting>
  <conditionalFormatting sqref="F40">
    <cfRule type="cellIs" dxfId="0" priority="123" operator="lessThan">
      <formula>-4100</formula>
    </cfRule>
  </conditionalFormatting>
  <conditionalFormatting sqref="F40">
    <cfRule type="cellIs" dxfId="1" priority="124" operator="greaterThanOrEqual">
      <formula>0</formula>
    </cfRule>
  </conditionalFormatting>
  <conditionalFormatting sqref="F40">
    <cfRule type="cellIs" dxfId="0" priority="125" operator="lessThan">
      <formula>-4100</formula>
    </cfRule>
  </conditionalFormatting>
  <conditionalFormatting sqref="F40">
    <cfRule type="cellIs" dxfId="0" priority="126" operator="lessThan">
      <formula>-4100</formula>
    </cfRule>
  </conditionalFormatting>
  <conditionalFormatting sqref="F40">
    <cfRule type="cellIs" dxfId="1" priority="127" operator="greaterThanOrEqual">
      <formula>0</formula>
    </cfRule>
  </conditionalFormatting>
  <conditionalFormatting sqref="F40">
    <cfRule type="cellIs" dxfId="1" priority="128" operator="greaterThanOrEqual">
      <formula>0</formula>
    </cfRule>
  </conditionalFormatting>
  <conditionalFormatting sqref="F40">
    <cfRule type="cellIs" dxfId="0" priority="129" operator="lessThan">
      <formula>-4100</formula>
    </cfRule>
  </conditionalFormatting>
  <conditionalFormatting sqref="F40">
    <cfRule type="cellIs" dxfId="1" priority="130" operator="greaterThanOrEqual">
      <formula>0</formula>
    </cfRule>
  </conditionalFormatting>
  <conditionalFormatting sqref="F40">
    <cfRule type="cellIs" dxfId="0" priority="131" operator="lessThan">
      <formula>-4100</formula>
    </cfRule>
  </conditionalFormatting>
  <conditionalFormatting sqref="E36:E40">
    <cfRule type="cellIs" dxfId="2" priority="132" operator="greaterThan">
      <formula>0</formula>
    </cfRule>
  </conditionalFormatting>
  <conditionalFormatting sqref="F40">
    <cfRule type="cellIs" dxfId="1" priority="133" operator="greaterThanOrEqual">
      <formula>0</formula>
    </cfRule>
  </conditionalFormatting>
  <conditionalFormatting sqref="F40">
    <cfRule type="cellIs" dxfId="0" priority="134" operator="lessThan">
      <formula>-4100</formula>
    </cfRule>
  </conditionalFormatting>
  <conditionalFormatting sqref="F40">
    <cfRule type="cellIs" dxfId="1" priority="135" operator="greaterThanOrEqual">
      <formula>0</formula>
    </cfRule>
  </conditionalFormatting>
  <conditionalFormatting sqref="F40">
    <cfRule type="cellIs" dxfId="0" priority="136" operator="lessThan">
      <formula>-4100</formula>
    </cfRule>
  </conditionalFormatting>
  <conditionalFormatting sqref="F50">
    <cfRule type="cellIs" dxfId="1" priority="137" operator="greaterThanOrEqual">
      <formula>0</formula>
    </cfRule>
  </conditionalFormatting>
  <conditionalFormatting sqref="F50">
    <cfRule type="cellIs" dxfId="0" priority="138" operator="lessThan">
      <formula>-4100</formula>
    </cfRule>
  </conditionalFormatting>
  <conditionalFormatting sqref="F50">
    <cfRule type="cellIs" dxfId="1" priority="139" operator="greaterThanOrEqual">
      <formula>0</formula>
    </cfRule>
  </conditionalFormatting>
  <conditionalFormatting sqref="F50">
    <cfRule type="cellIs" dxfId="0" priority="140" operator="lessThan">
      <formula>-4100</formula>
    </cfRule>
  </conditionalFormatting>
  <conditionalFormatting sqref="E50">
    <cfRule type="cellIs" dxfId="2" priority="141" operator="greaterThan">
      <formula>0</formula>
    </cfRule>
  </conditionalFormatting>
  <conditionalFormatting sqref="F50">
    <cfRule type="cellIs" dxfId="1" priority="142" operator="greaterThanOrEqual">
      <formula>0</formula>
    </cfRule>
  </conditionalFormatting>
  <conditionalFormatting sqref="F50">
    <cfRule type="cellIs" dxfId="0" priority="143" operator="lessThan">
      <formula>-4100</formula>
    </cfRule>
  </conditionalFormatting>
  <conditionalFormatting sqref="F50">
    <cfRule type="cellIs" dxfId="1" priority="144" operator="greaterThanOrEqual">
      <formula>0</formula>
    </cfRule>
  </conditionalFormatting>
  <conditionalFormatting sqref="F50">
    <cfRule type="cellIs" dxfId="0" priority="145" operator="lessThan">
      <formula>-4100</formula>
    </cfRule>
  </conditionalFormatting>
  <conditionalFormatting sqref="F50">
    <cfRule type="cellIs" dxfId="1" priority="146" operator="greaterThanOrEqual">
      <formula>0</formula>
    </cfRule>
  </conditionalFormatting>
  <conditionalFormatting sqref="F50">
    <cfRule type="cellIs" dxfId="0" priority="147" operator="lessThan">
      <formula>-4100</formula>
    </cfRule>
  </conditionalFormatting>
  <conditionalFormatting sqref="F50">
    <cfRule type="cellIs" dxfId="1" priority="148" operator="greaterThanOrEqual">
      <formula>0</formula>
    </cfRule>
  </conditionalFormatting>
  <conditionalFormatting sqref="F50">
    <cfRule type="cellIs" dxfId="0" priority="149" operator="lessThan">
      <formula>-4100</formula>
    </cfRule>
  </conditionalFormatting>
  <conditionalFormatting sqref="F50">
    <cfRule type="cellIs" dxfId="1" priority="150" operator="greaterThanOrEqual">
      <formula>0</formula>
    </cfRule>
  </conditionalFormatting>
  <conditionalFormatting sqref="F50">
    <cfRule type="cellIs" dxfId="0" priority="151" operator="lessThan">
      <formula>-4100</formula>
    </cfRule>
  </conditionalFormatting>
  <conditionalFormatting sqref="F50">
    <cfRule type="cellIs" dxfId="1" priority="152" operator="greaterThanOrEqual">
      <formula>0</formula>
    </cfRule>
  </conditionalFormatting>
  <conditionalFormatting sqref="F50">
    <cfRule type="cellIs" dxfId="0" priority="153" operator="lessThan">
      <formula>-4100</formula>
    </cfRule>
  </conditionalFormatting>
  <conditionalFormatting sqref="F45">
    <cfRule type="cellIs" dxfId="1" priority="154" operator="greaterThanOrEqual">
      <formula>0</formula>
    </cfRule>
  </conditionalFormatting>
  <conditionalFormatting sqref="F45">
    <cfRule type="cellIs" dxfId="0" priority="155" operator="lessThan">
      <formula>-4100</formula>
    </cfRule>
  </conditionalFormatting>
  <conditionalFormatting sqref="F45">
    <cfRule type="cellIs" dxfId="1" priority="156" operator="greaterThanOrEqual">
      <formula>0</formula>
    </cfRule>
  </conditionalFormatting>
  <conditionalFormatting sqref="F45">
    <cfRule type="cellIs" dxfId="0" priority="157" operator="lessThan">
      <formula>-4100</formula>
    </cfRule>
  </conditionalFormatting>
  <conditionalFormatting sqref="E45">
    <cfRule type="cellIs" dxfId="2" priority="158" operator="greaterThan">
      <formula>0</formula>
    </cfRule>
  </conditionalFormatting>
  <conditionalFormatting sqref="F45">
    <cfRule type="cellIs" dxfId="1" priority="159" operator="greaterThanOrEqual">
      <formula>0</formula>
    </cfRule>
  </conditionalFormatting>
  <conditionalFormatting sqref="F45">
    <cfRule type="cellIs" dxfId="0" priority="160" operator="lessThan">
      <formula>-4100</formula>
    </cfRule>
  </conditionalFormatting>
  <conditionalFormatting sqref="F45">
    <cfRule type="cellIs" dxfId="1" priority="161" operator="greaterThanOrEqual">
      <formula>0</formula>
    </cfRule>
  </conditionalFormatting>
  <conditionalFormatting sqref="F45">
    <cfRule type="cellIs" dxfId="0" priority="162" operator="lessThan">
      <formula>-4100</formula>
    </cfRule>
  </conditionalFormatting>
  <conditionalFormatting sqref="F45">
    <cfRule type="cellIs" dxfId="1" priority="163" operator="greaterThanOrEqual">
      <formula>0</formula>
    </cfRule>
  </conditionalFormatting>
  <conditionalFormatting sqref="F45">
    <cfRule type="cellIs" dxfId="0" priority="164" operator="lessThan">
      <formula>-4100</formula>
    </cfRule>
  </conditionalFormatting>
  <conditionalFormatting sqref="F45">
    <cfRule type="cellIs" dxfId="1" priority="165" operator="greaterThanOrEqual">
      <formula>0</formula>
    </cfRule>
  </conditionalFormatting>
  <conditionalFormatting sqref="F45">
    <cfRule type="cellIs" dxfId="0" priority="166" operator="lessThan">
      <formula>-4100</formula>
    </cfRule>
  </conditionalFormatting>
  <conditionalFormatting sqref="F45">
    <cfRule type="cellIs" dxfId="1" priority="167" operator="greaterThanOrEqual">
      <formula>0</formula>
    </cfRule>
  </conditionalFormatting>
  <conditionalFormatting sqref="F45">
    <cfRule type="cellIs" dxfId="0" priority="168" operator="lessThan">
      <formula>-4100</formula>
    </cfRule>
  </conditionalFormatting>
  <conditionalFormatting sqref="F45">
    <cfRule type="cellIs" dxfId="1" priority="169" operator="greaterThanOrEqual">
      <formula>0</formula>
    </cfRule>
  </conditionalFormatting>
  <conditionalFormatting sqref="F45">
    <cfRule type="cellIs" dxfId="0" priority="170" operator="lessThan">
      <formula>-4100</formula>
    </cfRule>
  </conditionalFormatting>
  <conditionalFormatting sqref="F55">
    <cfRule type="cellIs" dxfId="0" priority="171" operator="lessThan">
      <formula>-4100</formula>
    </cfRule>
  </conditionalFormatting>
  <conditionalFormatting sqref="F55">
    <cfRule type="cellIs" dxfId="1" priority="172" operator="greaterThanOrEqual">
      <formula>0</formula>
    </cfRule>
  </conditionalFormatting>
  <conditionalFormatting sqref="F55">
    <cfRule type="cellIs" dxfId="1" priority="173" operator="greaterThanOrEqual">
      <formula>0</formula>
    </cfRule>
  </conditionalFormatting>
  <conditionalFormatting sqref="F55">
    <cfRule type="cellIs" dxfId="0" priority="174" operator="lessThan">
      <formula>-4100</formula>
    </cfRule>
  </conditionalFormatting>
  <conditionalFormatting sqref="F55">
    <cfRule type="cellIs" dxfId="1" priority="175" operator="greaterThanOrEqual">
      <formula>0</formula>
    </cfRule>
  </conditionalFormatting>
  <conditionalFormatting sqref="F55">
    <cfRule type="cellIs" dxfId="0" priority="176" operator="lessThan">
      <formula>-4100</formula>
    </cfRule>
  </conditionalFormatting>
  <conditionalFormatting sqref="F55">
    <cfRule type="cellIs" dxfId="1" priority="177" operator="greaterThanOrEqual">
      <formula>0</formula>
    </cfRule>
  </conditionalFormatting>
  <conditionalFormatting sqref="F55">
    <cfRule type="cellIs" dxfId="0" priority="178" operator="lessThan">
      <formula>-4100</formula>
    </cfRule>
  </conditionalFormatting>
  <conditionalFormatting sqref="F55">
    <cfRule type="cellIs" dxfId="1" priority="179" operator="greaterThanOrEqual">
      <formula>0</formula>
    </cfRule>
  </conditionalFormatting>
  <conditionalFormatting sqref="F55">
    <cfRule type="cellIs" dxfId="0" priority="180" operator="lessThan">
      <formula>-4100</formula>
    </cfRule>
  </conditionalFormatting>
  <conditionalFormatting sqref="F55">
    <cfRule type="cellIs" dxfId="0" priority="181" operator="lessThan">
      <formula>-4100</formula>
    </cfRule>
  </conditionalFormatting>
  <conditionalFormatting sqref="F55">
    <cfRule type="cellIs" dxfId="1" priority="182" operator="greaterThanOrEqual">
      <formula>0</formula>
    </cfRule>
  </conditionalFormatting>
  <conditionalFormatting sqref="F55">
    <cfRule type="cellIs" dxfId="1" priority="183" operator="greaterThanOrEqual">
      <formula>0</formula>
    </cfRule>
  </conditionalFormatting>
  <conditionalFormatting sqref="F55">
    <cfRule type="cellIs" dxfId="0" priority="184" operator="lessThan">
      <formula>-4100</formula>
    </cfRule>
  </conditionalFormatting>
  <conditionalFormatting sqref="F55">
    <cfRule type="cellIs" dxfId="1" priority="185" operator="greaterThanOrEqual">
      <formula>0</formula>
    </cfRule>
  </conditionalFormatting>
  <conditionalFormatting sqref="F55">
    <cfRule type="cellIs" dxfId="0" priority="186" operator="lessThan">
      <formula>-4100</formula>
    </cfRule>
  </conditionalFormatting>
  <conditionalFormatting sqref="E55">
    <cfRule type="cellIs" dxfId="2" priority="187" operator="greaterThan">
      <formula>0</formula>
    </cfRule>
  </conditionalFormatting>
  <conditionalFormatting sqref="F75">
    <cfRule type="cellIs" dxfId="0" priority="188" operator="lessThan">
      <formula>-4100</formula>
    </cfRule>
  </conditionalFormatting>
  <conditionalFormatting sqref="F75">
    <cfRule type="cellIs" dxfId="1" priority="189" operator="greaterThanOrEqual">
      <formula>0</formula>
    </cfRule>
  </conditionalFormatting>
  <conditionalFormatting sqref="F75">
    <cfRule type="cellIs" dxfId="1" priority="190" operator="greaterThanOrEqual">
      <formula>0</formula>
    </cfRule>
  </conditionalFormatting>
  <conditionalFormatting sqref="F75">
    <cfRule type="cellIs" dxfId="0" priority="191" operator="lessThan">
      <formula>-4100</formula>
    </cfRule>
  </conditionalFormatting>
  <conditionalFormatting sqref="F75">
    <cfRule type="cellIs" dxfId="1" priority="192" operator="greaterThanOrEqual">
      <formula>0</formula>
    </cfRule>
  </conditionalFormatting>
  <conditionalFormatting sqref="F75">
    <cfRule type="cellIs" dxfId="0" priority="193" operator="lessThan">
      <formula>-4100</formula>
    </cfRule>
  </conditionalFormatting>
  <conditionalFormatting sqref="F75">
    <cfRule type="cellIs" dxfId="1" priority="194" operator="greaterThanOrEqual">
      <formula>0</formula>
    </cfRule>
  </conditionalFormatting>
  <conditionalFormatting sqref="F75">
    <cfRule type="cellIs" dxfId="0" priority="195" operator="lessThan">
      <formula>-4100</formula>
    </cfRule>
  </conditionalFormatting>
  <conditionalFormatting sqref="F75">
    <cfRule type="cellIs" dxfId="1" priority="196" operator="greaterThanOrEqual">
      <formula>0</formula>
    </cfRule>
  </conditionalFormatting>
  <conditionalFormatting sqref="F75">
    <cfRule type="cellIs" dxfId="0" priority="197" operator="lessThan">
      <formula>-4100</formula>
    </cfRule>
  </conditionalFormatting>
  <conditionalFormatting sqref="F75">
    <cfRule type="cellIs" dxfId="0" priority="198" operator="lessThan">
      <formula>-4100</formula>
    </cfRule>
  </conditionalFormatting>
  <conditionalFormatting sqref="F75">
    <cfRule type="cellIs" dxfId="1" priority="199" operator="greaterThanOrEqual">
      <formula>0</formula>
    </cfRule>
  </conditionalFormatting>
  <conditionalFormatting sqref="F75">
    <cfRule type="cellIs" dxfId="1" priority="200" operator="greaterThanOrEqual">
      <formula>0</formula>
    </cfRule>
  </conditionalFormatting>
  <conditionalFormatting sqref="F75">
    <cfRule type="cellIs" dxfId="0" priority="201" operator="lessThan">
      <formula>-4100</formula>
    </cfRule>
  </conditionalFormatting>
  <conditionalFormatting sqref="F75">
    <cfRule type="cellIs" dxfId="1" priority="202" operator="greaterThanOrEqual">
      <formula>0</formula>
    </cfRule>
  </conditionalFormatting>
  <conditionalFormatting sqref="F75">
    <cfRule type="cellIs" dxfId="0" priority="203" operator="lessThan">
      <formula>-4100</formula>
    </cfRule>
  </conditionalFormatting>
  <conditionalFormatting sqref="E75">
    <cfRule type="cellIs" dxfId="2" priority="204" operator="greaterThan">
      <formula>0</formula>
    </cfRule>
  </conditionalFormatting>
  <conditionalFormatting sqref="F80">
    <cfRule type="cellIs" dxfId="0" priority="205" operator="lessThan">
      <formula>-4100</formula>
    </cfRule>
  </conditionalFormatting>
  <conditionalFormatting sqref="F80">
    <cfRule type="cellIs" dxfId="1" priority="206" operator="greaterThanOrEqual">
      <formula>0</formula>
    </cfRule>
  </conditionalFormatting>
  <conditionalFormatting sqref="F80">
    <cfRule type="cellIs" dxfId="1" priority="207" operator="greaterThanOrEqual">
      <formula>0</formula>
    </cfRule>
  </conditionalFormatting>
  <conditionalFormatting sqref="F80">
    <cfRule type="cellIs" dxfId="0" priority="208" operator="lessThan">
      <formula>-4100</formula>
    </cfRule>
  </conditionalFormatting>
  <conditionalFormatting sqref="F80">
    <cfRule type="cellIs" dxfId="1" priority="209" operator="greaterThanOrEqual">
      <formula>0</formula>
    </cfRule>
  </conditionalFormatting>
  <conditionalFormatting sqref="F80">
    <cfRule type="cellIs" dxfId="0" priority="210" operator="lessThan">
      <formula>-4100</formula>
    </cfRule>
  </conditionalFormatting>
  <conditionalFormatting sqref="F80">
    <cfRule type="cellIs" dxfId="1" priority="211" operator="greaterThanOrEqual">
      <formula>0</formula>
    </cfRule>
  </conditionalFormatting>
  <conditionalFormatting sqref="F80">
    <cfRule type="cellIs" dxfId="0" priority="212" operator="lessThan">
      <formula>-4100</formula>
    </cfRule>
  </conditionalFormatting>
  <conditionalFormatting sqref="F80">
    <cfRule type="cellIs" dxfId="1" priority="213" operator="greaterThanOrEqual">
      <formula>0</formula>
    </cfRule>
  </conditionalFormatting>
  <conditionalFormatting sqref="F80">
    <cfRule type="cellIs" dxfId="0" priority="214" operator="lessThan">
      <formula>-4100</formula>
    </cfRule>
  </conditionalFormatting>
  <conditionalFormatting sqref="F80">
    <cfRule type="cellIs" dxfId="0" priority="215" operator="lessThan">
      <formula>-4100</formula>
    </cfRule>
  </conditionalFormatting>
  <conditionalFormatting sqref="F80">
    <cfRule type="cellIs" dxfId="1" priority="216" operator="greaterThanOrEqual">
      <formula>0</formula>
    </cfRule>
  </conditionalFormatting>
  <conditionalFormatting sqref="F80">
    <cfRule type="cellIs" dxfId="1" priority="217" operator="greaterThanOrEqual">
      <formula>0</formula>
    </cfRule>
  </conditionalFormatting>
  <conditionalFormatting sqref="F80">
    <cfRule type="cellIs" dxfId="0" priority="218" operator="lessThan">
      <formula>-4100</formula>
    </cfRule>
  </conditionalFormatting>
  <conditionalFormatting sqref="F80">
    <cfRule type="cellIs" dxfId="1" priority="219" operator="greaterThanOrEqual">
      <formula>0</formula>
    </cfRule>
  </conditionalFormatting>
  <conditionalFormatting sqref="F80">
    <cfRule type="cellIs" dxfId="0" priority="220" operator="lessThan">
      <formula>-4100</formula>
    </cfRule>
  </conditionalFormatting>
  <conditionalFormatting sqref="E80">
    <cfRule type="cellIs" dxfId="2" priority="221" operator="greaterThan">
      <formula>0</formula>
    </cfRule>
  </conditionalFormatting>
  <conditionalFormatting sqref="F70">
    <cfRule type="cellIs" dxfId="0" priority="222" operator="lessThan">
      <formula>-4100</formula>
    </cfRule>
  </conditionalFormatting>
  <conditionalFormatting sqref="F70">
    <cfRule type="cellIs" dxfId="1" priority="223" operator="greaterThanOrEqual">
      <formula>0</formula>
    </cfRule>
  </conditionalFormatting>
  <conditionalFormatting sqref="F70">
    <cfRule type="cellIs" dxfId="1" priority="224" operator="greaterThanOrEqual">
      <formula>0</formula>
    </cfRule>
  </conditionalFormatting>
  <conditionalFormatting sqref="F70">
    <cfRule type="cellIs" dxfId="0" priority="225" operator="lessThan">
      <formula>-4100</formula>
    </cfRule>
  </conditionalFormatting>
  <conditionalFormatting sqref="F70">
    <cfRule type="cellIs" dxfId="1" priority="226" operator="greaterThanOrEqual">
      <formula>0</formula>
    </cfRule>
  </conditionalFormatting>
  <conditionalFormatting sqref="F70">
    <cfRule type="cellIs" dxfId="0" priority="227" operator="lessThan">
      <formula>-4100</formula>
    </cfRule>
  </conditionalFormatting>
  <conditionalFormatting sqref="F70">
    <cfRule type="cellIs" dxfId="1" priority="228" operator="greaterThanOrEqual">
      <formula>0</formula>
    </cfRule>
  </conditionalFormatting>
  <conditionalFormatting sqref="F70">
    <cfRule type="cellIs" dxfId="0" priority="229" operator="lessThan">
      <formula>-4100</formula>
    </cfRule>
  </conditionalFormatting>
  <conditionalFormatting sqref="F70">
    <cfRule type="cellIs" dxfId="1" priority="230" operator="greaterThanOrEqual">
      <formula>0</formula>
    </cfRule>
  </conditionalFormatting>
  <conditionalFormatting sqref="F70">
    <cfRule type="cellIs" dxfId="0" priority="231" operator="lessThan">
      <formula>-4100</formula>
    </cfRule>
  </conditionalFormatting>
  <conditionalFormatting sqref="F70">
    <cfRule type="cellIs" dxfId="0" priority="232" operator="lessThan">
      <formula>-4100</formula>
    </cfRule>
  </conditionalFormatting>
  <conditionalFormatting sqref="F70">
    <cfRule type="cellIs" dxfId="1" priority="233" operator="greaterThanOrEqual">
      <formula>0</formula>
    </cfRule>
  </conditionalFormatting>
  <conditionalFormatting sqref="F70">
    <cfRule type="cellIs" dxfId="1" priority="234" operator="greaterThanOrEqual">
      <formula>0</formula>
    </cfRule>
  </conditionalFormatting>
  <conditionalFormatting sqref="F70">
    <cfRule type="cellIs" dxfId="0" priority="235" operator="lessThan">
      <formula>-4100</formula>
    </cfRule>
  </conditionalFormatting>
  <conditionalFormatting sqref="F70">
    <cfRule type="cellIs" dxfId="1" priority="236" operator="greaterThanOrEqual">
      <formula>0</formula>
    </cfRule>
  </conditionalFormatting>
  <conditionalFormatting sqref="F70">
    <cfRule type="cellIs" dxfId="0" priority="237" operator="lessThan">
      <formula>-4100</formula>
    </cfRule>
  </conditionalFormatting>
  <conditionalFormatting sqref="E70">
    <cfRule type="cellIs" dxfId="2" priority="238" operator="greaterThan">
      <formula>0</formula>
    </cfRule>
  </conditionalFormatting>
  <conditionalFormatting sqref="F60">
    <cfRule type="cellIs" dxfId="0" priority="239" operator="lessThan">
      <formula>-4100</formula>
    </cfRule>
  </conditionalFormatting>
  <conditionalFormatting sqref="F60">
    <cfRule type="cellIs" dxfId="1" priority="240" operator="greaterThanOrEqual">
      <formula>0</formula>
    </cfRule>
  </conditionalFormatting>
  <conditionalFormatting sqref="F60">
    <cfRule type="cellIs" dxfId="1" priority="241" operator="greaterThanOrEqual">
      <formula>0</formula>
    </cfRule>
  </conditionalFormatting>
  <conditionalFormatting sqref="F60">
    <cfRule type="cellIs" dxfId="0" priority="242" operator="lessThan">
      <formula>-4100</formula>
    </cfRule>
  </conditionalFormatting>
  <conditionalFormatting sqref="F60">
    <cfRule type="cellIs" dxfId="1" priority="243" operator="greaterThanOrEqual">
      <formula>0</formula>
    </cfRule>
  </conditionalFormatting>
  <conditionalFormatting sqref="F60">
    <cfRule type="cellIs" dxfId="0" priority="244" operator="lessThan">
      <formula>-4100</formula>
    </cfRule>
  </conditionalFormatting>
  <conditionalFormatting sqref="F60">
    <cfRule type="cellIs" dxfId="1" priority="245" operator="greaterThanOrEqual">
      <formula>0</formula>
    </cfRule>
  </conditionalFormatting>
  <conditionalFormatting sqref="F60">
    <cfRule type="cellIs" dxfId="0" priority="246" operator="lessThan">
      <formula>-4100</formula>
    </cfRule>
  </conditionalFormatting>
  <conditionalFormatting sqref="F60">
    <cfRule type="cellIs" dxfId="1" priority="247" operator="greaterThanOrEqual">
      <formula>0</formula>
    </cfRule>
  </conditionalFormatting>
  <conditionalFormatting sqref="F60">
    <cfRule type="cellIs" dxfId="0" priority="248" operator="lessThan">
      <formula>-4100</formula>
    </cfRule>
  </conditionalFormatting>
  <conditionalFormatting sqref="F60">
    <cfRule type="cellIs" dxfId="0" priority="249" operator="lessThan">
      <formula>-4100</formula>
    </cfRule>
  </conditionalFormatting>
  <conditionalFormatting sqref="F60">
    <cfRule type="cellIs" dxfId="1" priority="250" operator="greaterThanOrEqual">
      <formula>0</formula>
    </cfRule>
  </conditionalFormatting>
  <conditionalFormatting sqref="F60">
    <cfRule type="cellIs" dxfId="1" priority="251" operator="greaterThanOrEqual">
      <formula>0</formula>
    </cfRule>
  </conditionalFormatting>
  <conditionalFormatting sqref="F60">
    <cfRule type="cellIs" dxfId="0" priority="252" operator="lessThan">
      <formula>-4100</formula>
    </cfRule>
  </conditionalFormatting>
  <conditionalFormatting sqref="F60">
    <cfRule type="cellIs" dxfId="1" priority="253" operator="greaterThanOrEqual">
      <formula>0</formula>
    </cfRule>
  </conditionalFormatting>
  <conditionalFormatting sqref="F60">
    <cfRule type="cellIs" dxfId="0" priority="254" operator="lessThan">
      <formula>-4100</formula>
    </cfRule>
  </conditionalFormatting>
  <conditionalFormatting sqref="E60">
    <cfRule type="cellIs" dxfId="2" priority="255" operator="greaterThan">
      <formula>0</formula>
    </cfRule>
  </conditionalFormatting>
  <conditionalFormatting sqref="F65">
    <cfRule type="cellIs" dxfId="0" priority="256" operator="lessThan">
      <formula>-4100</formula>
    </cfRule>
  </conditionalFormatting>
  <conditionalFormatting sqref="F65">
    <cfRule type="cellIs" dxfId="1" priority="257" operator="greaterThanOrEqual">
      <formula>0</formula>
    </cfRule>
  </conditionalFormatting>
  <conditionalFormatting sqref="F65">
    <cfRule type="cellIs" dxfId="1" priority="258" operator="greaterThanOrEqual">
      <formula>0</formula>
    </cfRule>
  </conditionalFormatting>
  <conditionalFormatting sqref="F65">
    <cfRule type="cellIs" dxfId="0" priority="259" operator="lessThan">
      <formula>-4100</formula>
    </cfRule>
  </conditionalFormatting>
  <conditionalFormatting sqref="F65">
    <cfRule type="cellIs" dxfId="1" priority="260" operator="greaterThanOrEqual">
      <formula>0</formula>
    </cfRule>
  </conditionalFormatting>
  <conditionalFormatting sqref="F65">
    <cfRule type="cellIs" dxfId="0" priority="261" operator="lessThan">
      <formula>-4100</formula>
    </cfRule>
  </conditionalFormatting>
  <conditionalFormatting sqref="F65">
    <cfRule type="cellIs" dxfId="1" priority="262" operator="greaterThanOrEqual">
      <formula>0</formula>
    </cfRule>
  </conditionalFormatting>
  <conditionalFormatting sqref="F65">
    <cfRule type="cellIs" dxfId="0" priority="263" operator="lessThan">
      <formula>-4100</formula>
    </cfRule>
  </conditionalFormatting>
  <conditionalFormatting sqref="F65">
    <cfRule type="cellIs" dxfId="1" priority="264" operator="greaterThanOrEqual">
      <formula>0</formula>
    </cfRule>
  </conditionalFormatting>
  <conditionalFormatting sqref="F65">
    <cfRule type="cellIs" dxfId="0" priority="265" operator="lessThan">
      <formula>-4100</formula>
    </cfRule>
  </conditionalFormatting>
  <conditionalFormatting sqref="F65">
    <cfRule type="cellIs" dxfId="0" priority="266" operator="lessThan">
      <formula>-4100</formula>
    </cfRule>
  </conditionalFormatting>
  <conditionalFormatting sqref="F65">
    <cfRule type="cellIs" dxfId="1" priority="267" operator="greaterThanOrEqual">
      <formula>0</formula>
    </cfRule>
  </conditionalFormatting>
  <conditionalFormatting sqref="F65">
    <cfRule type="cellIs" dxfId="1" priority="268" operator="greaterThanOrEqual">
      <formula>0</formula>
    </cfRule>
  </conditionalFormatting>
  <conditionalFormatting sqref="F65">
    <cfRule type="cellIs" dxfId="0" priority="269" operator="lessThan">
      <formula>-4100</formula>
    </cfRule>
  </conditionalFormatting>
  <conditionalFormatting sqref="F65">
    <cfRule type="cellIs" dxfId="1" priority="270" operator="greaterThanOrEqual">
      <formula>0</formula>
    </cfRule>
  </conditionalFormatting>
  <conditionalFormatting sqref="F65">
    <cfRule type="cellIs" dxfId="0" priority="271" operator="lessThan">
      <formula>-4100</formula>
    </cfRule>
  </conditionalFormatting>
  <conditionalFormatting sqref="E65">
    <cfRule type="cellIs" dxfId="2" priority="272" operator="greaterThan">
      <formula>0</formula>
    </cfRule>
  </conditionalFormatting>
  <conditionalFormatting sqref="F85">
    <cfRule type="cellIs" dxfId="0" priority="273" operator="lessThan">
      <formula>-4100</formula>
    </cfRule>
  </conditionalFormatting>
  <conditionalFormatting sqref="F85">
    <cfRule type="cellIs" dxfId="1" priority="274" operator="greaterThanOrEqual">
      <formula>0</formula>
    </cfRule>
  </conditionalFormatting>
  <conditionalFormatting sqref="F85">
    <cfRule type="cellIs" dxfId="1" priority="275" operator="greaterThanOrEqual">
      <formula>0</formula>
    </cfRule>
  </conditionalFormatting>
  <conditionalFormatting sqref="F85">
    <cfRule type="cellIs" dxfId="0" priority="276" operator="lessThan">
      <formula>-4100</formula>
    </cfRule>
  </conditionalFormatting>
  <conditionalFormatting sqref="F85">
    <cfRule type="cellIs" dxfId="1" priority="277" operator="greaterThanOrEqual">
      <formula>0</formula>
    </cfRule>
  </conditionalFormatting>
  <conditionalFormatting sqref="F85">
    <cfRule type="cellIs" dxfId="0" priority="278" operator="lessThan">
      <formula>-4100</formula>
    </cfRule>
  </conditionalFormatting>
  <conditionalFormatting sqref="F85">
    <cfRule type="cellIs" dxfId="1" priority="279" operator="greaterThanOrEqual">
      <formula>0</formula>
    </cfRule>
  </conditionalFormatting>
  <conditionalFormatting sqref="F85">
    <cfRule type="cellIs" dxfId="0" priority="280" operator="lessThan">
      <formula>-4100</formula>
    </cfRule>
  </conditionalFormatting>
  <conditionalFormatting sqref="F85">
    <cfRule type="cellIs" dxfId="1" priority="281" operator="greaterThanOrEqual">
      <formula>0</formula>
    </cfRule>
  </conditionalFormatting>
  <conditionalFormatting sqref="F85">
    <cfRule type="cellIs" dxfId="0" priority="282" operator="lessThan">
      <formula>-4100</formula>
    </cfRule>
  </conditionalFormatting>
  <conditionalFormatting sqref="E85">
    <cfRule type="cellIs" dxfId="2" priority="283" operator="greaterThan">
      <formula>0</formula>
    </cfRule>
  </conditionalFormatting>
  <conditionalFormatting sqref="F85">
    <cfRule type="cellIs" dxfId="1" priority="284" operator="greaterThanOrEqual">
      <formula>0</formula>
    </cfRule>
  </conditionalFormatting>
  <conditionalFormatting sqref="F85">
    <cfRule type="cellIs" dxfId="0" priority="285" operator="lessThan">
      <formula>-4100</formula>
    </cfRule>
  </conditionalFormatting>
  <conditionalFormatting sqref="F85">
    <cfRule type="cellIs" dxfId="1" priority="286" operator="greaterThanOrEqual">
      <formula>0</formula>
    </cfRule>
  </conditionalFormatting>
  <conditionalFormatting sqref="F85">
    <cfRule type="cellIs" dxfId="0" priority="287" operator="lessThan">
      <formula>-4100</formula>
    </cfRule>
  </conditionalFormatting>
  <conditionalFormatting sqref="F85">
    <cfRule type="cellIs" dxfId="1" priority="288" operator="greaterThanOrEqual">
      <formula>0</formula>
    </cfRule>
  </conditionalFormatting>
  <conditionalFormatting sqref="F85">
    <cfRule type="cellIs" dxfId="0" priority="289" operator="lessThan">
      <formula>-4100</formula>
    </cfRule>
  </conditionalFormatting>
  <conditionalFormatting sqref="F90">
    <cfRule type="cellIs" dxfId="0" priority="290" operator="lessThan">
      <formula>-4100</formula>
    </cfRule>
  </conditionalFormatting>
  <conditionalFormatting sqref="F90">
    <cfRule type="cellIs" dxfId="1" priority="291" operator="greaterThanOrEqual">
      <formula>0</formula>
    </cfRule>
  </conditionalFormatting>
  <conditionalFormatting sqref="F90">
    <cfRule type="cellIs" dxfId="1" priority="292" operator="greaterThanOrEqual">
      <formula>0</formula>
    </cfRule>
  </conditionalFormatting>
  <conditionalFormatting sqref="F90">
    <cfRule type="cellIs" dxfId="0" priority="293" operator="lessThan">
      <formula>-4100</formula>
    </cfRule>
  </conditionalFormatting>
  <conditionalFormatting sqref="F90">
    <cfRule type="cellIs" dxfId="1" priority="294" operator="greaterThanOrEqual">
      <formula>0</formula>
    </cfRule>
  </conditionalFormatting>
  <conditionalFormatting sqref="F90">
    <cfRule type="cellIs" dxfId="0" priority="295" operator="lessThan">
      <formula>-4100</formula>
    </cfRule>
  </conditionalFormatting>
  <conditionalFormatting sqref="F90">
    <cfRule type="cellIs" dxfId="1" priority="296" operator="greaterThanOrEqual">
      <formula>0</formula>
    </cfRule>
  </conditionalFormatting>
  <conditionalFormatting sqref="F90">
    <cfRule type="cellIs" dxfId="0" priority="297" operator="lessThan">
      <formula>-4100</formula>
    </cfRule>
  </conditionalFormatting>
  <conditionalFormatting sqref="F90">
    <cfRule type="cellIs" dxfId="1" priority="298" operator="greaterThanOrEqual">
      <formula>0</formula>
    </cfRule>
  </conditionalFormatting>
  <conditionalFormatting sqref="F90">
    <cfRule type="cellIs" dxfId="0" priority="299" operator="lessThan">
      <formula>-4100</formula>
    </cfRule>
  </conditionalFormatting>
  <conditionalFormatting sqref="E90">
    <cfRule type="cellIs" dxfId="2" priority="300" operator="greaterThan">
      <formula>0</formula>
    </cfRule>
  </conditionalFormatting>
  <conditionalFormatting sqref="F90">
    <cfRule type="cellIs" dxfId="1" priority="301" operator="greaterThanOrEqual">
      <formula>0</formula>
    </cfRule>
  </conditionalFormatting>
  <conditionalFormatting sqref="F90">
    <cfRule type="cellIs" dxfId="0" priority="302" operator="lessThan">
      <formula>-4100</formula>
    </cfRule>
  </conditionalFormatting>
  <conditionalFormatting sqref="F90">
    <cfRule type="cellIs" dxfId="1" priority="303" operator="greaterThanOrEqual">
      <formula>0</formula>
    </cfRule>
  </conditionalFormatting>
  <conditionalFormatting sqref="F90">
    <cfRule type="cellIs" dxfId="0" priority="304" operator="lessThan">
      <formula>-4100</formula>
    </cfRule>
  </conditionalFormatting>
  <conditionalFormatting sqref="F90">
    <cfRule type="cellIs" dxfId="1" priority="305" operator="greaterThanOrEqual">
      <formula>0</formula>
    </cfRule>
  </conditionalFormatting>
  <conditionalFormatting sqref="F90">
    <cfRule type="cellIs" dxfId="0" priority="306" operator="lessThan">
      <formula>-4100</formula>
    </cfRule>
  </conditionalFormatting>
  <conditionalFormatting sqref="F95">
    <cfRule type="cellIs" dxfId="0" priority="307" operator="lessThan">
      <formula>-4100</formula>
    </cfRule>
  </conditionalFormatting>
  <conditionalFormatting sqref="F95">
    <cfRule type="cellIs" dxfId="1" priority="308" operator="greaterThanOrEqual">
      <formula>0</formula>
    </cfRule>
  </conditionalFormatting>
  <conditionalFormatting sqref="F95">
    <cfRule type="cellIs" dxfId="1" priority="309" operator="greaterThanOrEqual">
      <formula>0</formula>
    </cfRule>
  </conditionalFormatting>
  <conditionalFormatting sqref="F95">
    <cfRule type="cellIs" dxfId="0" priority="310" operator="lessThan">
      <formula>-4100</formula>
    </cfRule>
  </conditionalFormatting>
  <conditionalFormatting sqref="F95">
    <cfRule type="cellIs" dxfId="1" priority="311" operator="greaterThanOrEqual">
      <formula>0</formula>
    </cfRule>
  </conditionalFormatting>
  <conditionalFormatting sqref="F95">
    <cfRule type="cellIs" dxfId="0" priority="312" operator="lessThan">
      <formula>-4100</formula>
    </cfRule>
  </conditionalFormatting>
  <conditionalFormatting sqref="F95">
    <cfRule type="cellIs" dxfId="1" priority="313" operator="greaterThanOrEqual">
      <formula>0</formula>
    </cfRule>
  </conditionalFormatting>
  <conditionalFormatting sqref="F95">
    <cfRule type="cellIs" dxfId="0" priority="314" operator="lessThan">
      <formula>-4100</formula>
    </cfRule>
  </conditionalFormatting>
  <conditionalFormatting sqref="E95">
    <cfRule type="cellIs" dxfId="2" priority="315" operator="greaterThan">
      <formula>0</formula>
    </cfRule>
  </conditionalFormatting>
  <conditionalFormatting sqref="F120">
    <cfRule type="cellIs" dxfId="0" priority="316" operator="lessThan">
      <formula>-4100</formula>
    </cfRule>
  </conditionalFormatting>
  <conditionalFormatting sqref="F120">
    <cfRule type="cellIs" dxfId="1" priority="317" operator="greaterThanOrEqual">
      <formula>0</formula>
    </cfRule>
  </conditionalFormatting>
  <conditionalFormatting sqref="F120">
    <cfRule type="cellIs" dxfId="1" priority="318" operator="greaterThanOrEqual">
      <formula>0</formula>
    </cfRule>
  </conditionalFormatting>
  <conditionalFormatting sqref="F120">
    <cfRule type="cellIs" dxfId="0" priority="319" operator="lessThan">
      <formula>-4100</formula>
    </cfRule>
  </conditionalFormatting>
  <conditionalFormatting sqref="F120">
    <cfRule type="cellIs" dxfId="1" priority="320" operator="greaterThanOrEqual">
      <formula>0</formula>
    </cfRule>
  </conditionalFormatting>
  <conditionalFormatting sqref="F120">
    <cfRule type="cellIs" dxfId="0" priority="321" operator="lessThan">
      <formula>-4100</formula>
    </cfRule>
  </conditionalFormatting>
  <conditionalFormatting sqref="F120">
    <cfRule type="cellIs" dxfId="1" priority="322" operator="greaterThanOrEqual">
      <formula>0</formula>
    </cfRule>
  </conditionalFormatting>
  <conditionalFormatting sqref="F120">
    <cfRule type="cellIs" dxfId="0" priority="323" operator="lessThan">
      <formula>-4100</formula>
    </cfRule>
  </conditionalFormatting>
  <conditionalFormatting sqref="E120">
    <cfRule type="cellIs" dxfId="2" priority="324" operator="greaterThan">
      <formula>0</formula>
    </cfRule>
  </conditionalFormatting>
  <conditionalFormatting sqref="F115">
    <cfRule type="cellIs" dxfId="0" priority="325" operator="lessThan">
      <formula>-4100</formula>
    </cfRule>
  </conditionalFormatting>
  <conditionalFormatting sqref="F115">
    <cfRule type="cellIs" dxfId="1" priority="326" operator="greaterThanOrEqual">
      <formula>0</formula>
    </cfRule>
  </conditionalFormatting>
  <conditionalFormatting sqref="F115">
    <cfRule type="cellIs" dxfId="1" priority="327" operator="greaterThanOrEqual">
      <formula>0</formula>
    </cfRule>
  </conditionalFormatting>
  <conditionalFormatting sqref="F115">
    <cfRule type="cellIs" dxfId="0" priority="328" operator="lessThan">
      <formula>-4100</formula>
    </cfRule>
  </conditionalFormatting>
  <conditionalFormatting sqref="F115">
    <cfRule type="cellIs" dxfId="1" priority="329" operator="greaterThanOrEqual">
      <formula>0</formula>
    </cfRule>
  </conditionalFormatting>
  <conditionalFormatting sqref="F115">
    <cfRule type="cellIs" dxfId="0" priority="330" operator="lessThan">
      <formula>-4100</formula>
    </cfRule>
  </conditionalFormatting>
  <conditionalFormatting sqref="F115">
    <cfRule type="cellIs" dxfId="1" priority="331" operator="greaterThanOrEqual">
      <formula>0</formula>
    </cfRule>
  </conditionalFormatting>
  <conditionalFormatting sqref="F115">
    <cfRule type="cellIs" dxfId="0" priority="332" operator="lessThan">
      <formula>-4100</formula>
    </cfRule>
  </conditionalFormatting>
  <conditionalFormatting sqref="E115">
    <cfRule type="cellIs" dxfId="2" priority="333" operator="greaterThan">
      <formula>0</formula>
    </cfRule>
  </conditionalFormatting>
  <conditionalFormatting sqref="F110">
    <cfRule type="cellIs" dxfId="0" priority="334" operator="lessThan">
      <formula>-4100</formula>
    </cfRule>
  </conditionalFormatting>
  <conditionalFormatting sqref="F110">
    <cfRule type="cellIs" dxfId="1" priority="335" operator="greaterThanOrEqual">
      <formula>0</formula>
    </cfRule>
  </conditionalFormatting>
  <conditionalFormatting sqref="F110">
    <cfRule type="cellIs" dxfId="1" priority="336" operator="greaterThanOrEqual">
      <formula>0</formula>
    </cfRule>
  </conditionalFormatting>
  <conditionalFormatting sqref="F110">
    <cfRule type="cellIs" dxfId="0" priority="337" operator="lessThan">
      <formula>-4100</formula>
    </cfRule>
  </conditionalFormatting>
  <conditionalFormatting sqref="F110">
    <cfRule type="cellIs" dxfId="1" priority="338" operator="greaterThanOrEqual">
      <formula>0</formula>
    </cfRule>
  </conditionalFormatting>
  <conditionalFormatting sqref="F110">
    <cfRule type="cellIs" dxfId="0" priority="339" operator="lessThan">
      <formula>-4100</formula>
    </cfRule>
  </conditionalFormatting>
  <conditionalFormatting sqref="F110">
    <cfRule type="cellIs" dxfId="1" priority="340" operator="greaterThanOrEqual">
      <formula>0</formula>
    </cfRule>
  </conditionalFormatting>
  <conditionalFormatting sqref="F110">
    <cfRule type="cellIs" dxfId="0" priority="341" operator="lessThan">
      <formula>-4100</formula>
    </cfRule>
  </conditionalFormatting>
  <conditionalFormatting sqref="E110">
    <cfRule type="cellIs" dxfId="2" priority="342" operator="greaterThan">
      <formula>0</formula>
    </cfRule>
  </conditionalFormatting>
  <conditionalFormatting sqref="F100">
    <cfRule type="cellIs" dxfId="0" priority="343" operator="lessThan">
      <formula>-4100</formula>
    </cfRule>
  </conditionalFormatting>
  <conditionalFormatting sqref="F100">
    <cfRule type="cellIs" dxfId="1" priority="344" operator="greaterThanOrEqual">
      <formula>0</formula>
    </cfRule>
  </conditionalFormatting>
  <conditionalFormatting sqref="F100">
    <cfRule type="cellIs" dxfId="1" priority="345" operator="greaterThanOrEqual">
      <formula>0</formula>
    </cfRule>
  </conditionalFormatting>
  <conditionalFormatting sqref="F100">
    <cfRule type="cellIs" dxfId="0" priority="346" operator="lessThan">
      <formula>-4100</formula>
    </cfRule>
  </conditionalFormatting>
  <conditionalFormatting sqref="F100">
    <cfRule type="cellIs" dxfId="1" priority="347" operator="greaterThanOrEqual">
      <formula>0</formula>
    </cfRule>
  </conditionalFormatting>
  <conditionalFormatting sqref="F100">
    <cfRule type="cellIs" dxfId="0" priority="348" operator="lessThan">
      <formula>-4100</formula>
    </cfRule>
  </conditionalFormatting>
  <conditionalFormatting sqref="F100">
    <cfRule type="cellIs" dxfId="1" priority="349" operator="greaterThanOrEqual">
      <formula>0</formula>
    </cfRule>
  </conditionalFormatting>
  <conditionalFormatting sqref="F100">
    <cfRule type="cellIs" dxfId="0" priority="350" operator="lessThan">
      <formula>-4100</formula>
    </cfRule>
  </conditionalFormatting>
  <conditionalFormatting sqref="E100">
    <cfRule type="cellIs" dxfId="2" priority="351" operator="greaterThan">
      <formula>0</formula>
    </cfRule>
  </conditionalFormatting>
  <conditionalFormatting sqref="F105">
    <cfRule type="cellIs" dxfId="0" priority="352" operator="lessThan">
      <formula>-4100</formula>
    </cfRule>
  </conditionalFormatting>
  <conditionalFormatting sqref="F105">
    <cfRule type="cellIs" dxfId="1" priority="353" operator="greaterThanOrEqual">
      <formula>0</formula>
    </cfRule>
  </conditionalFormatting>
  <conditionalFormatting sqref="F105">
    <cfRule type="cellIs" dxfId="1" priority="354" operator="greaterThanOrEqual">
      <formula>0</formula>
    </cfRule>
  </conditionalFormatting>
  <conditionalFormatting sqref="F105">
    <cfRule type="cellIs" dxfId="0" priority="355" operator="lessThan">
      <formula>-4100</formula>
    </cfRule>
  </conditionalFormatting>
  <conditionalFormatting sqref="F105">
    <cfRule type="cellIs" dxfId="1" priority="356" operator="greaterThanOrEqual">
      <formula>0</formula>
    </cfRule>
  </conditionalFormatting>
  <conditionalFormatting sqref="F105">
    <cfRule type="cellIs" dxfId="0" priority="357" operator="lessThan">
      <formula>-4100</formula>
    </cfRule>
  </conditionalFormatting>
  <conditionalFormatting sqref="F105">
    <cfRule type="cellIs" dxfId="1" priority="358" operator="greaterThanOrEqual">
      <formula>0</formula>
    </cfRule>
  </conditionalFormatting>
  <conditionalFormatting sqref="F105">
    <cfRule type="cellIs" dxfId="0" priority="359" operator="lessThan">
      <formula>-4100</formula>
    </cfRule>
  </conditionalFormatting>
  <conditionalFormatting sqref="E105">
    <cfRule type="cellIs" dxfId="2" priority="360" operator="greaterThan">
      <formula>0</formula>
    </cfRule>
  </conditionalFormatting>
  <conditionalFormatting sqref="F125">
    <cfRule type="cellIs" dxfId="1" priority="361" operator="greaterThanOrEqual">
      <formula>0</formula>
    </cfRule>
  </conditionalFormatting>
  <conditionalFormatting sqref="F125">
    <cfRule type="cellIs" dxfId="0" priority="362" operator="lessThan">
      <formula>-4100</formula>
    </cfRule>
  </conditionalFormatting>
  <conditionalFormatting sqref="F125">
    <cfRule type="cellIs" dxfId="1" priority="363" operator="greaterThanOrEqual">
      <formula>0</formula>
    </cfRule>
  </conditionalFormatting>
  <conditionalFormatting sqref="F125">
    <cfRule type="cellIs" dxfId="0" priority="364" operator="lessThan">
      <formula>-4100</formula>
    </cfRule>
  </conditionalFormatting>
  <conditionalFormatting sqref="F125">
    <cfRule type="cellIs" dxfId="1" priority="365" operator="greaterThanOrEqual">
      <formula>0</formula>
    </cfRule>
  </conditionalFormatting>
  <conditionalFormatting sqref="F125">
    <cfRule type="cellIs" dxfId="0" priority="366" operator="lessThan">
      <formula>-4100</formula>
    </cfRule>
  </conditionalFormatting>
  <conditionalFormatting sqref="F125">
    <cfRule type="cellIs" dxfId="1" priority="367" operator="greaterThanOrEqual">
      <formula>0</formula>
    </cfRule>
  </conditionalFormatting>
  <conditionalFormatting sqref="F125">
    <cfRule type="cellIs" dxfId="0" priority="368" operator="lessThan">
      <formula>-4100</formula>
    </cfRule>
  </conditionalFormatting>
  <conditionalFormatting sqref="F125">
    <cfRule type="cellIs" dxfId="1" priority="369" operator="greaterThanOrEqual">
      <formula>0</formula>
    </cfRule>
  </conditionalFormatting>
  <conditionalFormatting sqref="F125">
    <cfRule type="cellIs" dxfId="0" priority="370" operator="lessThan">
      <formula>-4100</formula>
    </cfRule>
  </conditionalFormatting>
  <conditionalFormatting sqref="F125">
    <cfRule type="cellIs" dxfId="1" priority="371" operator="greaterThanOrEqual">
      <formula>0</formula>
    </cfRule>
  </conditionalFormatting>
  <conditionalFormatting sqref="F125">
    <cfRule type="cellIs" dxfId="0" priority="372" operator="lessThan">
      <formula>-4100</formula>
    </cfRule>
  </conditionalFormatting>
  <conditionalFormatting sqref="F125">
    <cfRule type="cellIs" dxfId="1" priority="373" operator="greaterThanOrEqual">
      <formula>0</formula>
    </cfRule>
  </conditionalFormatting>
  <conditionalFormatting sqref="F125">
    <cfRule type="cellIs" dxfId="0" priority="374" operator="lessThan">
      <formula>-4100</formula>
    </cfRule>
  </conditionalFormatting>
  <conditionalFormatting sqref="F125">
    <cfRule type="cellIs" dxfId="1" priority="375" operator="greaterThanOrEqual">
      <formula>0</formula>
    </cfRule>
  </conditionalFormatting>
  <conditionalFormatting sqref="F125">
    <cfRule type="cellIs" dxfId="0" priority="376" operator="lessThan">
      <formula>-4100</formula>
    </cfRule>
  </conditionalFormatting>
  <conditionalFormatting sqref="E125">
    <cfRule type="cellIs" dxfId="2" priority="377" operator="greaterThan">
      <formula>0</formula>
    </cfRule>
  </conditionalFormatting>
  <conditionalFormatting sqref="F145">
    <cfRule type="cellIs" dxfId="1" priority="378" operator="greaterThanOrEqual">
      <formula>0</formula>
    </cfRule>
  </conditionalFormatting>
  <conditionalFormatting sqref="F145">
    <cfRule type="cellIs" dxfId="0" priority="379" operator="lessThan">
      <formula>-4100</formula>
    </cfRule>
  </conditionalFormatting>
  <conditionalFormatting sqref="F145">
    <cfRule type="cellIs" dxfId="1" priority="380" operator="greaterThanOrEqual">
      <formula>0</formula>
    </cfRule>
  </conditionalFormatting>
  <conditionalFormatting sqref="F145">
    <cfRule type="cellIs" dxfId="0" priority="381" operator="lessThan">
      <formula>-4100</formula>
    </cfRule>
  </conditionalFormatting>
  <conditionalFormatting sqref="F145">
    <cfRule type="cellIs" dxfId="1" priority="382" operator="greaterThanOrEqual">
      <formula>0</formula>
    </cfRule>
  </conditionalFormatting>
  <conditionalFormatting sqref="F145">
    <cfRule type="cellIs" dxfId="0" priority="383" operator="lessThan">
      <formula>-4100</formula>
    </cfRule>
  </conditionalFormatting>
  <conditionalFormatting sqref="F145">
    <cfRule type="cellIs" dxfId="1" priority="384" operator="greaterThanOrEqual">
      <formula>0</formula>
    </cfRule>
  </conditionalFormatting>
  <conditionalFormatting sqref="F145">
    <cfRule type="cellIs" dxfId="0" priority="385" operator="lessThan">
      <formula>-4100</formula>
    </cfRule>
  </conditionalFormatting>
  <conditionalFormatting sqref="F145">
    <cfRule type="cellIs" dxfId="1" priority="386" operator="greaterThanOrEqual">
      <formula>0</formula>
    </cfRule>
  </conditionalFormatting>
  <conditionalFormatting sqref="F145">
    <cfRule type="cellIs" dxfId="0" priority="387" operator="lessThan">
      <formula>-4100</formula>
    </cfRule>
  </conditionalFormatting>
  <conditionalFormatting sqref="F145">
    <cfRule type="cellIs" dxfId="1" priority="388" operator="greaterThanOrEqual">
      <formula>0</formula>
    </cfRule>
  </conditionalFormatting>
  <conditionalFormatting sqref="F145">
    <cfRule type="cellIs" dxfId="0" priority="389" operator="lessThan">
      <formula>-4100</formula>
    </cfRule>
  </conditionalFormatting>
  <conditionalFormatting sqref="F145">
    <cfRule type="cellIs" dxfId="1" priority="390" operator="greaterThanOrEqual">
      <formula>0</formula>
    </cfRule>
  </conditionalFormatting>
  <conditionalFormatting sqref="F145">
    <cfRule type="cellIs" dxfId="0" priority="391" operator="lessThan">
      <formula>-4100</formula>
    </cfRule>
  </conditionalFormatting>
  <conditionalFormatting sqref="F145">
    <cfRule type="cellIs" dxfId="1" priority="392" operator="greaterThanOrEqual">
      <formula>0</formula>
    </cfRule>
  </conditionalFormatting>
  <conditionalFormatting sqref="F145">
    <cfRule type="cellIs" dxfId="0" priority="393" operator="lessThan">
      <formula>-4100</formula>
    </cfRule>
  </conditionalFormatting>
  <conditionalFormatting sqref="E145">
    <cfRule type="cellIs" dxfId="2" priority="394" operator="greaterThan">
      <formula>0</formula>
    </cfRule>
  </conditionalFormatting>
  <conditionalFormatting sqref="F140">
    <cfRule type="cellIs" dxfId="1" priority="395" operator="greaterThanOrEqual">
      <formula>0</formula>
    </cfRule>
  </conditionalFormatting>
  <conditionalFormatting sqref="F140">
    <cfRule type="cellIs" dxfId="0" priority="396" operator="lessThan">
      <formula>-4100</formula>
    </cfRule>
  </conditionalFormatting>
  <conditionalFormatting sqref="F140">
    <cfRule type="cellIs" dxfId="1" priority="397" operator="greaterThanOrEqual">
      <formula>0</formula>
    </cfRule>
  </conditionalFormatting>
  <conditionalFormatting sqref="F140">
    <cfRule type="cellIs" dxfId="0" priority="398" operator="lessThan">
      <formula>-4100</formula>
    </cfRule>
  </conditionalFormatting>
  <conditionalFormatting sqref="F140">
    <cfRule type="cellIs" dxfId="1" priority="399" operator="greaterThanOrEqual">
      <formula>0</formula>
    </cfRule>
  </conditionalFormatting>
  <conditionalFormatting sqref="F140">
    <cfRule type="cellIs" dxfId="0" priority="400" operator="lessThan">
      <formula>-4100</formula>
    </cfRule>
  </conditionalFormatting>
  <conditionalFormatting sqref="F140">
    <cfRule type="cellIs" dxfId="1" priority="401" operator="greaterThanOrEqual">
      <formula>0</formula>
    </cfRule>
  </conditionalFormatting>
  <conditionalFormatting sqref="F140">
    <cfRule type="cellIs" dxfId="0" priority="402" operator="lessThan">
      <formula>-4100</formula>
    </cfRule>
  </conditionalFormatting>
  <conditionalFormatting sqref="F140">
    <cfRule type="cellIs" dxfId="1" priority="403" operator="greaterThanOrEqual">
      <formula>0</formula>
    </cfRule>
  </conditionalFormatting>
  <conditionalFormatting sqref="F140">
    <cfRule type="cellIs" dxfId="0" priority="404" operator="lessThan">
      <formula>-4100</formula>
    </cfRule>
  </conditionalFormatting>
  <conditionalFormatting sqref="F140">
    <cfRule type="cellIs" dxfId="1" priority="405" operator="greaterThanOrEqual">
      <formula>0</formula>
    </cfRule>
  </conditionalFormatting>
  <conditionalFormatting sqref="F140">
    <cfRule type="cellIs" dxfId="0" priority="406" operator="lessThan">
      <formula>-4100</formula>
    </cfRule>
  </conditionalFormatting>
  <conditionalFormatting sqref="F140">
    <cfRule type="cellIs" dxfId="1" priority="407" operator="greaterThanOrEqual">
      <formula>0</formula>
    </cfRule>
  </conditionalFormatting>
  <conditionalFormatting sqref="F140">
    <cfRule type="cellIs" dxfId="0" priority="408" operator="lessThan">
      <formula>-4100</formula>
    </cfRule>
  </conditionalFormatting>
  <conditionalFormatting sqref="F140">
    <cfRule type="cellIs" dxfId="1" priority="409" operator="greaterThanOrEqual">
      <formula>0</formula>
    </cfRule>
  </conditionalFormatting>
  <conditionalFormatting sqref="F140">
    <cfRule type="cellIs" dxfId="0" priority="410" operator="lessThan">
      <formula>-4100</formula>
    </cfRule>
  </conditionalFormatting>
  <conditionalFormatting sqref="E140">
    <cfRule type="cellIs" dxfId="2" priority="411" operator="greaterThan">
      <formula>0</formula>
    </cfRule>
  </conditionalFormatting>
  <conditionalFormatting sqref="F135">
    <cfRule type="cellIs" dxfId="1" priority="412" operator="greaterThanOrEqual">
      <formula>0</formula>
    </cfRule>
  </conditionalFormatting>
  <conditionalFormatting sqref="F135">
    <cfRule type="cellIs" dxfId="0" priority="413" operator="lessThan">
      <formula>-4100</formula>
    </cfRule>
  </conditionalFormatting>
  <conditionalFormatting sqref="F135">
    <cfRule type="cellIs" dxfId="1" priority="414" operator="greaterThanOrEqual">
      <formula>0</formula>
    </cfRule>
  </conditionalFormatting>
  <conditionalFormatting sqref="F135">
    <cfRule type="cellIs" dxfId="0" priority="415" operator="lessThan">
      <formula>-4100</formula>
    </cfRule>
  </conditionalFormatting>
  <conditionalFormatting sqref="F135">
    <cfRule type="cellIs" dxfId="1" priority="416" operator="greaterThanOrEqual">
      <formula>0</formula>
    </cfRule>
  </conditionalFormatting>
  <conditionalFormatting sqref="F135">
    <cfRule type="cellIs" dxfId="0" priority="417" operator="lessThan">
      <formula>-4100</formula>
    </cfRule>
  </conditionalFormatting>
  <conditionalFormatting sqref="F135">
    <cfRule type="cellIs" dxfId="1" priority="418" operator="greaterThanOrEqual">
      <formula>0</formula>
    </cfRule>
  </conditionalFormatting>
  <conditionalFormatting sqref="F135">
    <cfRule type="cellIs" dxfId="0" priority="419" operator="lessThan">
      <formula>-4100</formula>
    </cfRule>
  </conditionalFormatting>
  <conditionalFormatting sqref="F135">
    <cfRule type="cellIs" dxfId="1" priority="420" operator="greaterThanOrEqual">
      <formula>0</formula>
    </cfRule>
  </conditionalFormatting>
  <conditionalFormatting sqref="F135">
    <cfRule type="cellIs" dxfId="0" priority="421" operator="lessThan">
      <formula>-4100</formula>
    </cfRule>
  </conditionalFormatting>
  <conditionalFormatting sqref="F135">
    <cfRule type="cellIs" dxfId="1" priority="422" operator="greaterThanOrEqual">
      <formula>0</formula>
    </cfRule>
  </conditionalFormatting>
  <conditionalFormatting sqref="F135">
    <cfRule type="cellIs" dxfId="0" priority="423" operator="lessThan">
      <formula>-4100</formula>
    </cfRule>
  </conditionalFormatting>
  <conditionalFormatting sqref="F135">
    <cfRule type="cellIs" dxfId="1" priority="424" operator="greaterThanOrEqual">
      <formula>0</formula>
    </cfRule>
  </conditionalFormatting>
  <conditionalFormatting sqref="F135">
    <cfRule type="cellIs" dxfId="0" priority="425" operator="lessThan">
      <formula>-4100</formula>
    </cfRule>
  </conditionalFormatting>
  <conditionalFormatting sqref="F135">
    <cfRule type="cellIs" dxfId="1" priority="426" operator="greaterThanOrEqual">
      <formula>0</formula>
    </cfRule>
  </conditionalFormatting>
  <conditionalFormatting sqref="F135">
    <cfRule type="cellIs" dxfId="0" priority="427" operator="lessThan">
      <formula>-4100</formula>
    </cfRule>
  </conditionalFormatting>
  <conditionalFormatting sqref="E135">
    <cfRule type="cellIs" dxfId="2" priority="428" operator="greaterThan">
      <formula>0</formula>
    </cfRule>
  </conditionalFormatting>
  <conditionalFormatting sqref="F130">
    <cfRule type="cellIs" dxfId="1" priority="429" operator="greaterThanOrEqual">
      <formula>0</formula>
    </cfRule>
  </conditionalFormatting>
  <conditionalFormatting sqref="F130">
    <cfRule type="cellIs" dxfId="0" priority="430" operator="lessThan">
      <formula>-4100</formula>
    </cfRule>
  </conditionalFormatting>
  <conditionalFormatting sqref="F130">
    <cfRule type="cellIs" dxfId="1" priority="431" operator="greaterThanOrEqual">
      <formula>0</formula>
    </cfRule>
  </conditionalFormatting>
  <conditionalFormatting sqref="F130">
    <cfRule type="cellIs" dxfId="0" priority="432" operator="lessThan">
      <formula>-4100</formula>
    </cfRule>
  </conditionalFormatting>
  <conditionalFormatting sqref="F130">
    <cfRule type="cellIs" dxfId="1" priority="433" operator="greaterThanOrEqual">
      <formula>0</formula>
    </cfRule>
  </conditionalFormatting>
  <conditionalFormatting sqref="F130">
    <cfRule type="cellIs" dxfId="0" priority="434" operator="lessThan">
      <formula>-4100</formula>
    </cfRule>
  </conditionalFormatting>
  <conditionalFormatting sqref="F130">
    <cfRule type="cellIs" dxfId="1" priority="435" operator="greaterThanOrEqual">
      <formula>0</formula>
    </cfRule>
  </conditionalFormatting>
  <conditionalFormatting sqref="F130">
    <cfRule type="cellIs" dxfId="0" priority="436" operator="lessThan">
      <formula>-4100</formula>
    </cfRule>
  </conditionalFormatting>
  <conditionalFormatting sqref="F130">
    <cfRule type="cellIs" dxfId="1" priority="437" operator="greaterThanOrEqual">
      <formula>0</formula>
    </cfRule>
  </conditionalFormatting>
  <conditionalFormatting sqref="F130">
    <cfRule type="cellIs" dxfId="0" priority="438" operator="lessThan">
      <formula>-4100</formula>
    </cfRule>
  </conditionalFormatting>
  <conditionalFormatting sqref="F130">
    <cfRule type="cellIs" dxfId="1" priority="439" operator="greaterThanOrEqual">
      <formula>0</formula>
    </cfRule>
  </conditionalFormatting>
  <conditionalFormatting sqref="F130">
    <cfRule type="cellIs" dxfId="0" priority="440" operator="lessThan">
      <formula>-4100</formula>
    </cfRule>
  </conditionalFormatting>
  <conditionalFormatting sqref="F130">
    <cfRule type="cellIs" dxfId="1" priority="441" operator="greaterThanOrEqual">
      <formula>0</formula>
    </cfRule>
  </conditionalFormatting>
  <conditionalFormatting sqref="F130">
    <cfRule type="cellIs" dxfId="0" priority="442" operator="lessThan">
      <formula>-4100</formula>
    </cfRule>
  </conditionalFormatting>
  <conditionalFormatting sqref="F130">
    <cfRule type="cellIs" dxfId="1" priority="443" operator="greaterThanOrEqual">
      <formula>0</formula>
    </cfRule>
  </conditionalFormatting>
  <conditionalFormatting sqref="F130">
    <cfRule type="cellIs" dxfId="0" priority="444" operator="lessThan">
      <formula>-4100</formula>
    </cfRule>
  </conditionalFormatting>
  <conditionalFormatting sqref="E130">
    <cfRule type="cellIs" dxfId="2" priority="445" operator="greater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工作表</vt:lpstr>
      </vt:variant>
      <vt:variant>
        <vt:i4>1</vt:i4>
      </vt:variant>
    </vt:vector>
  </HeadingPairs>
  <TitlesOfParts>
    <vt:vector baseType="lpstr" size="1">
      <vt:lpstr>工作表1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2026-09-24T02:33:00Z</dcterms:created>
  <dc:creator>USER</dc:creator>
  <cp:lastModifiedBy>USER</cp:lastModifiedBy>
  <dcterms:modified xsi:type="dcterms:W3CDTF">2026-09-24T02:36:00Z</dcterms:modified>
</cp:coreProperties>
</file>