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name="hkex">Sheet1!$I$85</definedName>
    <definedName name="byd">Sheet1!$I$95</definedName>
    <definedName name="ub">Sheet1!$I$191</definedName>
    <definedName name="zte">Sheet1!$I$45</definedName>
    <definedName name="sun">Sheet1!$I$231</definedName>
  </definedNames>
  <calcPr/>
</workbook>
</file>

<file path=xl/sharedStrings.xml><?xml version="1.0" encoding="utf-8"?>
<sst xmlns="http://schemas.openxmlformats.org/spreadsheetml/2006/main" count="230" uniqueCount="20">
  <si>
    <t>Base</t>
  </si>
  <si>
    <t>Now</t>
  </si>
  <si>
    <t>Change</t>
  </si>
  <si>
    <t>HS</t>
  </si>
  <si>
    <t>TB</t>
  </si>
  <si>
    <t>Sell</t>
  </si>
  <si>
    <t>Buy</t>
  </si>
  <si>
    <t>xxx</t>
  </si>
  <si>
    <t>Stock</t>
  </si>
  <si>
    <t>Earn</t>
  </si>
  <si>
    <t>7WYS0%</t>
  </si>
  <si>
    <r>
      <rPr>
        <rFont val="PMingLiu"/>
        <color rgb="FF000000"/>
        <sz val="11.0"/>
      </rPr>
      <t>S</t>
    </r>
    <r>
      <rPr>
        <rFont val="新細明體"/>
        <color rgb="FF000000"/>
        <sz val="11.0"/>
      </rPr>
      <t>ell</t>
    </r>
  </si>
  <si>
    <r>
      <rPr>
        <rFont val="PMingLiu"/>
        <color rgb="FF000000"/>
        <sz val="11.0"/>
      </rPr>
      <t>B</t>
    </r>
    <r>
      <rPr>
        <rFont val="新細明體"/>
        <color rgb="FF000000"/>
        <sz val="11.0"/>
      </rPr>
      <t>uy</t>
    </r>
  </si>
  <si>
    <t>9888 Baidu</t>
  </si>
  <si>
    <r>
      <rPr>
        <rFont val="PMingLiu"/>
        <color rgb="FF000000"/>
        <sz val="11.0"/>
      </rPr>
      <t>S</t>
    </r>
    <r>
      <rPr>
        <rFont val="新細明體"/>
        <color rgb="FF000000"/>
        <sz val="11.0"/>
      </rPr>
      <t>ell</t>
    </r>
  </si>
  <si>
    <r>
      <rPr>
        <rFont val="PMingLiu"/>
        <color rgb="FF000000"/>
        <sz val="11.0"/>
      </rPr>
      <t>B</t>
    </r>
    <r>
      <rPr>
        <rFont val="新細明體"/>
        <color rgb="FF000000"/>
        <sz val="11.0"/>
      </rPr>
      <t>uy</t>
    </r>
  </si>
  <si>
    <r>
      <rPr>
        <rFont val="PMingLiu"/>
        <color rgb="FF000000"/>
        <sz val="11.0"/>
      </rPr>
      <t>S</t>
    </r>
    <r>
      <rPr>
        <rFont val="新細明體"/>
        <color rgb="FF000000"/>
        <sz val="11.0"/>
      </rPr>
      <t>ell</t>
    </r>
  </si>
  <si>
    <r>
      <rPr>
        <rFont val="PMingLiu"/>
        <color rgb="FF000000"/>
        <sz val="11.0"/>
      </rPr>
      <t>B</t>
    </r>
    <r>
      <rPr>
        <rFont val="新細明體"/>
        <color rgb="FF000000"/>
        <sz val="11.0"/>
      </rPr>
      <t>uy</t>
    </r>
  </si>
  <si>
    <t>9888 Bidu</t>
  </si>
  <si>
    <t>9888 BAIDU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</si>
</sst>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_ "/>
    <numFmt numFmtId="165" formatCode="_-[$$-3C09]* #,##0.00_-;\-[$$-3C09]* #,##0.00_-;_-[$$-3C09]* &quot;-&quot;??_-;_-@"/>
  </numFmts>
  <fonts count="4">
    <font>
      <sz val="11.0"/>
      <color rgb="FF000000"/>
      <name val="Arial"/>
      <scheme val="minor"/>
    </font>
    <font>
      <sz val="11.0"/>
      <name val="PMingLiu"/>
    </font>
    <font>
      <sz val="11.0"/>
      <color rgb="FF000000"/>
      <name val="PMingLiu"/>
    </font>
    <font>
      <sz val="11.0"/>
      <color rgb="FFFF0000"/>
      <name val="PMingLiu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00B0F0"/>
        <bgColor rgb="FF00B0F0"/>
      </patternFill>
    </fill>
    <fill>
      <patternFill patternType="solid">
        <fgColor rgb="FFFFC000"/>
        <bgColor rgb="FFFFC000"/>
      </patternFill>
    </fill>
  </fills>
  <borders count="6">
    <border/>
    <border>
      <left/>
      <right/>
      <top/>
      <bottom/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0" xfId="0" applyBorder="1" applyFill="1" applyFont="1" applyNumberFormat="1"/>
    <xf borderId="1" fillId="2" fontId="1" numFmtId="164" xfId="0" applyBorder="1" applyFill="1" applyFont="1" applyNumberFormat="1"/>
    <xf borderId="0" fillId="0" fontId="1" numFmtId="0" xfId="0" applyFont="1"/>
    <xf borderId="0" fillId="0" fontId="1" numFmtId="10" xfId="0" applyFont="1" applyNumberFormat="1"/>
    <xf borderId="0" fillId="0" fontId="1" numFmtId="164" xfId="0" applyFont="1" applyNumberFormat="1"/>
    <xf borderId="1" fillId="3" fontId="1" numFmtId="0" xfId="0" applyBorder="1" applyFill="1" applyFont="1"/>
    <xf borderId="0" fillId="0" fontId="2" numFmtId="16" xfId="0" applyFont="1" applyNumberFormat="1"/>
    <xf borderId="2" fillId="0" fontId="1" numFmtId="165" xfId="0" applyBorder="1" applyFont="1" applyNumberFormat="1"/>
    <xf borderId="3" fillId="0" fontId="1" numFmtId="0" xfId="0" applyBorder="1" applyFont="1"/>
    <xf borderId="4" fillId="0" fontId="1" numFmtId="165" xfId="0" applyBorder="1" applyFont="1" applyNumberFormat="1"/>
    <xf borderId="5" fillId="0" fontId="1" numFmtId="0" xfId="0" applyBorder="1" applyFont="1"/>
    <xf borderId="1" fillId="4" fontId="1" numFmtId="0" xfId="0" applyBorder="1" applyFill="1" applyFont="1"/>
    <xf borderId="0" fillId="0" fontId="1" numFmtId="165" xfId="0" applyFont="1" applyNumberFormat="1"/>
    <xf borderId="0" fillId="0" fontId="3" numFmtId="165" xfId="0" applyFont="1" applyNumberFormat="1"/>
    <xf borderId="1" fillId="2" fontId="2" numFmtId="0" xfId="0" applyBorder="1" applyFill="1" applyFont="1"/>
    <xf borderId="0" fillId="0" fontId="2" numFmtId="0" xfId="0" applyFont="1"/>
    <xf borderId="0" fillId="0" fontId="2" numFmtId="165" xfId="0" applyFont="1" applyNumberFormat="1"/>
    <xf borderId="1" fillId="5" fontId="2" numFmtId="0" xfId="0" applyBorder="1" applyFill="1" applyFont="1"/>
  </cellXfs>
  <cellStyles count="1">
    <cellStyle xfId="0" name="Normal" builtinId="0"/>
  </cellStyles>
  <dxfs count="7">
    <dxf>
      <font/>
      <fill>
        <patternFill patternType="solid">
          <fgColor rgb="FF7B7B7B"/>
          <bgColor rgb="FF7B7B7B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7F7F7F"/>
          <bgColor rgb="FF7F7F7F"/>
        </patternFill>
      </fill>
      <border/>
    </dxf>
    <dxf>
      <font/>
      <fill>
        <patternFill patternType="solid">
          <fgColor rgb="FFFFD965"/>
          <bgColor rgb="FFFFD96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1.71"/>
    <col customWidth="1" min="3" max="3" width="9.0"/>
    <col customWidth="1" min="4" max="4" width="11.0"/>
    <col customWidth="1" min="5" max="5" width="14.43"/>
    <col customWidth="1" min="6" max="6" width="14.0"/>
    <col customWidth="1" min="7" max="7" width="6.86"/>
    <col customWidth="1" min="8" max="8" width="10.0"/>
    <col customWidth="1" min="9" max="9" width="10.57"/>
    <col customWidth="1" min="10" max="10" width="11.71"/>
    <col customWidth="1" min="11" max="11" width="13.43"/>
    <col customWidth="1" min="12" max="16" width="8.71"/>
    <col customWidth="1" min="17" max="17" width="11.29"/>
    <col customWidth="1" min="18" max="18" width="8.71"/>
    <col customWidth="1" min="19" max="19" width="11.86"/>
    <col customWidth="1" min="20" max="24" width="8.71"/>
    <col customWidth="1" min="25" max="25" width="11.0"/>
    <col customWidth="1" min="26" max="26" width="11.43"/>
  </cols>
  <sheetData>
    <row r="1" ht="15.75" customHeight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3"/>
    </row>
    <row r="2" ht="15.75" customHeight="1">
      <c r="A2" s="4"/>
      <c r="B2" s="4" t="s">
        <v>0</v>
      </c>
      <c r="C2" s="4" t="s">
        <v>1</v>
      </c>
      <c r="D2" s="4" t="s">
        <v>2</v>
      </c>
      <c r="H2" s="5"/>
      <c r="Z2" s="6"/>
    </row>
    <row r="3" ht="15.75" customHeight="1">
      <c r="A3" s="4" t="s">
        <v>3</v>
      </c>
      <c r="B3" s="4">
        <v>25566.0</v>
      </c>
      <c r="C3" s="7">
        <v>24800.0</v>
      </c>
      <c r="D3" s="5" t="str">
        <f>(C3-B3)/B3</f>
        <v>-3.00%</v>
      </c>
      <c r="H3" s="5"/>
      <c r="Z3" s="6"/>
    </row>
    <row r="4" ht="15.75" customHeight="1">
      <c r="A4" s="4"/>
      <c r="B4" s="4"/>
      <c r="C4" s="4"/>
      <c r="H4" s="5" t="s">
        <v>4</v>
      </c>
      <c r="K4" t="s">
        <v>0</v>
      </c>
      <c r="Z4" s="6"/>
    </row>
    <row r="5" ht="15.75" customHeight="1">
      <c r="A5" t="s">
        <v>5</v>
      </c>
      <c r="B5" t="s">
        <v>6</v>
      </c>
      <c r="C5" s="8">
        <v>46262.0</v>
      </c>
      <c r="H5" s="5" t="str">
        <f t="shared" ref="H5:H6" si="1">(I5-K5)/K5-$D$3</f>
        <v>-4.19%</v>
      </c>
      <c r="I5" s="9">
        <v>1.55</v>
      </c>
      <c r="J5" s="10">
        <v>371.0</v>
      </c>
      <c r="K5">
        <v>1.67</v>
      </c>
    </row>
    <row r="6" ht="15.75" customHeight="1">
      <c r="A6" s="4">
        <v>371.0</v>
      </c>
      <c r="B6" s="4">
        <v>855.0</v>
      </c>
      <c r="H6" s="5" t="str">
        <f t="shared" si="1"/>
        <v>-1.94%</v>
      </c>
      <c r="I6" s="11">
        <v>4.24</v>
      </c>
      <c r="J6" s="12">
        <v>855.0</v>
      </c>
      <c r="K6">
        <v>4.46</v>
      </c>
    </row>
    <row r="7" ht="15.75" customHeight="1">
      <c r="A7" s="13" t="s">
        <v>7</v>
      </c>
      <c r="B7" s="14" t="s">
        <v>7</v>
      </c>
      <c r="H7" s="5" t="str">
        <f>H5-H6</f>
        <v>-2.25%</v>
      </c>
    </row>
    <row r="8" ht="15.75" customHeight="1">
      <c r="A8" s="15" t="str">
        <f>I5</f>
        <v> $ 1.55 </v>
      </c>
      <c r="B8" s="15" t="str">
        <f>I6</f>
        <v> $ 4.24 </v>
      </c>
      <c r="C8">
        <v>600.0</v>
      </c>
      <c r="D8" t="s">
        <v>8</v>
      </c>
      <c r="V8" s="6"/>
    </row>
    <row r="9" ht="15.75" customHeight="1">
      <c r="A9" s="4"/>
      <c r="B9" s="14"/>
      <c r="C9">
        <v>300.0</v>
      </c>
      <c r="D9" t="s">
        <v>9</v>
      </c>
      <c r="E9" s="14" t="str">
        <f>A9</f>
        <v/>
      </c>
      <c r="F9" s="14" t="str">
        <f>(B9+A9)</f>
        <v> $ -   </v>
      </c>
      <c r="G9" t="str">
        <f>IF(F9&gt;0, "TRADE","H")</f>
        <v>H</v>
      </c>
      <c r="V9" s="6"/>
    </row>
    <row r="10" ht="15.75" customHeight="1">
      <c r="A10" t="s">
        <v>5</v>
      </c>
      <c r="B10" t="s">
        <v>6</v>
      </c>
      <c r="C10" s="8">
        <v>46259.0</v>
      </c>
    </row>
    <row r="11" ht="15.75" customHeight="1">
      <c r="A11" s="4">
        <v>371.0</v>
      </c>
      <c r="B11" s="4">
        <v>855.0</v>
      </c>
    </row>
    <row r="12" ht="15.75" customHeight="1">
      <c r="A12" s="13" t="str">
        <f>-0.0554+1.73</f>
        <v>1.6746</v>
      </c>
      <c r="B12" s="14">
        <v>4.5</v>
      </c>
    </row>
    <row r="13" ht="15.75" customHeight="1">
      <c r="A13" s="14" t="str">
        <f>$A$8</f>
        <v> $ 1.55 </v>
      </c>
      <c r="B13" s="14" t="str">
        <f>$B$8</f>
        <v> $ 4.24 </v>
      </c>
      <c r="C13">
        <v>2000.0</v>
      </c>
      <c r="D13" t="s">
        <v>8</v>
      </c>
      <c r="V13" s="6"/>
    </row>
    <row r="14" ht="15.75" customHeight="1">
      <c r="A14" s="4" t="str">
        <f>(A13-A12)*C14</f>
        <v>-747.6</v>
      </c>
      <c r="B14" s="14" t="str">
        <f>C13*(B12-B13)</f>
        <v> $ 520.00 </v>
      </c>
      <c r="C14">
        <v>6000.0</v>
      </c>
      <c r="D14" t="s">
        <v>9</v>
      </c>
      <c r="E14" s="14" t="str">
        <f>A14</f>
        <v>-$ 747.60 </v>
      </c>
      <c r="F14" s="14" t="str">
        <f>(B14+A14)</f>
        <v>-$ 227.60 </v>
      </c>
      <c r="G14" t="str">
        <f>IF(F14&gt;0, "TRADE","H")</f>
        <v>H</v>
      </c>
      <c r="V14" s="6"/>
    </row>
    <row r="15" ht="15.75" customHeight="1">
      <c r="A15" t="s">
        <v>5</v>
      </c>
      <c r="B15" t="s">
        <v>6</v>
      </c>
      <c r="C15" s="8">
        <v>46154.0</v>
      </c>
      <c r="H15" s="5" t="str">
        <f t="shared" ref="H15:H16" si="2">(I15-K15)/K15-$D$3</f>
        <v>-1.47%</v>
      </c>
      <c r="I15" s="9">
        <v>38.5</v>
      </c>
      <c r="J15" s="10">
        <v>2230.0</v>
      </c>
      <c r="K15">
        <v>40.3</v>
      </c>
    </row>
    <row r="16" ht="15.75" customHeight="1">
      <c r="A16" s="4">
        <v>2230.0</v>
      </c>
      <c r="B16" s="4">
        <v>600089.0</v>
      </c>
      <c r="H16" s="5" t="str">
        <f t="shared" si="2"/>
        <v>-2.34%</v>
      </c>
      <c r="I16" s="11">
        <v>18.11</v>
      </c>
      <c r="J16" s="12">
        <v>600089.0</v>
      </c>
      <c r="K16">
        <v>19.13</v>
      </c>
    </row>
    <row r="17" ht="15.75" customHeight="1">
      <c r="A17" s="13" t="s">
        <v>7</v>
      </c>
      <c r="B17" s="14" t="s">
        <v>7</v>
      </c>
      <c r="H17" s="5" t="str">
        <f>H15-H16</f>
        <v>0.87%</v>
      </c>
    </row>
    <row r="18" ht="15.75" customHeight="1">
      <c r="A18" s="15" t="str">
        <f>I15</f>
        <v> $ 38.50 </v>
      </c>
      <c r="B18" s="15" t="str">
        <f>I16</f>
        <v> $ 18.11 </v>
      </c>
      <c r="C18">
        <v>600.0</v>
      </c>
      <c r="D18" t="s">
        <v>8</v>
      </c>
      <c r="V18" s="6"/>
    </row>
    <row r="19" ht="15.75" customHeight="1">
      <c r="A19" s="4"/>
      <c r="B19" s="14"/>
      <c r="C19">
        <v>300.0</v>
      </c>
      <c r="D19" t="s">
        <v>9</v>
      </c>
      <c r="E19" s="14" t="str">
        <f>A19</f>
        <v/>
      </c>
      <c r="F19" s="14" t="str">
        <f>(B19+A19)</f>
        <v> $ -   </v>
      </c>
      <c r="G19" t="str">
        <f>IF(F19&gt;0, "TRADE","H")</f>
        <v>H</v>
      </c>
      <c r="V19" s="6"/>
    </row>
    <row r="20" ht="15.75" customHeight="1">
      <c r="A20" t="s">
        <v>5</v>
      </c>
      <c r="B20" t="s">
        <v>6</v>
      </c>
      <c r="C20" s="8">
        <v>46259.0</v>
      </c>
    </row>
    <row r="21" ht="15.75" customHeight="1">
      <c r="A21" s="4">
        <v>60089.0</v>
      </c>
      <c r="B21" s="4">
        <v>2230.0</v>
      </c>
    </row>
    <row r="22" ht="15.75" customHeight="1">
      <c r="A22" s="13">
        <v>19.0</v>
      </c>
      <c r="B22" s="14">
        <v>39.32</v>
      </c>
    </row>
    <row r="23" ht="15.75" customHeight="1">
      <c r="A23" s="14" t="str">
        <f>$B$18</f>
        <v> $ 18.11 </v>
      </c>
      <c r="B23" s="14" t="str">
        <f>$A$18</f>
        <v> $ 38.50 </v>
      </c>
      <c r="C23">
        <v>300.0</v>
      </c>
      <c r="D23" t="s">
        <v>8</v>
      </c>
      <c r="V23" s="6"/>
    </row>
    <row r="24" ht="15.75" customHeight="1">
      <c r="A24" s="4" t="str">
        <f>(A23-A22)*C24</f>
        <v>-534</v>
      </c>
      <c r="B24" s="14" t="str">
        <f>C23*(B22-B23)</f>
        <v> $ 246.00 </v>
      </c>
      <c r="C24">
        <v>600.0</v>
      </c>
      <c r="D24" t="s">
        <v>9</v>
      </c>
      <c r="E24" s="14" t="str">
        <f>A24</f>
        <v>-$ 534.00 </v>
      </c>
      <c r="F24" s="14" t="str">
        <f>(B24+A24)</f>
        <v>-$ 288.00 </v>
      </c>
      <c r="G24" t="str">
        <f>IF(F24&gt;0, "TRADE","H")</f>
        <v>H</v>
      </c>
      <c r="V24" s="6"/>
    </row>
    <row r="25" ht="15.75" customHeight="1">
      <c r="A25" t="s">
        <v>5</v>
      </c>
      <c r="B25" t="s">
        <v>6</v>
      </c>
      <c r="C25" s="8">
        <v>46084.0</v>
      </c>
      <c r="H25" s="5" t="str">
        <f t="shared" ref="H25:H26" si="3">(I25-K25)/K25-$D$3</f>
        <v>-6.98%</v>
      </c>
      <c r="I25" s="9">
        <v>2.03</v>
      </c>
      <c r="J25" s="10">
        <v>968.0</v>
      </c>
      <c r="K25">
        <v>2.255</v>
      </c>
    </row>
    <row r="26" ht="15.75" customHeight="1">
      <c r="A26" s="4">
        <v>3800.0</v>
      </c>
      <c r="B26" s="4">
        <v>968.0</v>
      </c>
      <c r="H26" s="5" t="str">
        <f t="shared" si="3"/>
        <v>10.85%</v>
      </c>
      <c r="I26" s="11">
        <v>0.755</v>
      </c>
      <c r="J26" s="12">
        <v>3800.0</v>
      </c>
      <c r="K26">
        <v>0.7</v>
      </c>
    </row>
    <row r="27" ht="15.75" customHeight="1">
      <c r="A27" s="13" t="s">
        <v>7</v>
      </c>
      <c r="B27" s="14" t="s">
        <v>7</v>
      </c>
      <c r="H27" s="5" t="s">
        <v>10</v>
      </c>
    </row>
    <row r="28" ht="15.75" customHeight="1">
      <c r="A28" s="15" t="str">
        <f>I26</f>
        <v> $ 0.76 </v>
      </c>
      <c r="B28" s="15" t="str">
        <f>I25</f>
        <v> $ 2.03 </v>
      </c>
      <c r="C28">
        <v>4000.0</v>
      </c>
      <c r="D28" t="s">
        <v>8</v>
      </c>
      <c r="V28" s="6"/>
    </row>
    <row r="29" ht="15.75" customHeight="1">
      <c r="A29" s="4"/>
      <c r="B29" s="14"/>
      <c r="C29">
        <v>12000.0</v>
      </c>
      <c r="D29" t="s">
        <v>9</v>
      </c>
      <c r="E29" s="14" t="str">
        <f>A29</f>
        <v/>
      </c>
      <c r="F29" s="14" t="str">
        <f>(B29+A29)</f>
        <v> $ -   </v>
      </c>
      <c r="G29" t="str">
        <f>IF(F29&gt;0, "TRADE","H")</f>
        <v>H</v>
      </c>
      <c r="V29" s="6"/>
    </row>
    <row r="30" ht="15.75" customHeight="1">
      <c r="A30" t="s">
        <v>5</v>
      </c>
      <c r="B30" t="s">
        <v>6</v>
      </c>
      <c r="C30" s="8">
        <v>46286.0</v>
      </c>
    </row>
    <row r="31" ht="15.75" customHeight="1">
      <c r="A31" s="4">
        <v>968.0</v>
      </c>
      <c r="B31" s="4">
        <v>3800.0</v>
      </c>
    </row>
    <row r="32" ht="15.75" customHeight="1">
      <c r="A32" s="13">
        <v>2.03</v>
      </c>
      <c r="B32" s="14">
        <v>0.755</v>
      </c>
    </row>
    <row r="33" ht="15.75" customHeight="1">
      <c r="A33" s="14" t="str">
        <f>$B$28</f>
        <v> $ 2.03 </v>
      </c>
      <c r="B33" s="14" t="str">
        <f>$A$28</f>
        <v> $ 0.76 </v>
      </c>
      <c r="C33">
        <v>12000.0</v>
      </c>
      <c r="D33" t="s">
        <v>8</v>
      </c>
      <c r="V33" s="6"/>
    </row>
    <row r="34" ht="15.75" customHeight="1">
      <c r="A34" s="4" t="str">
        <f>(A33-A32)*C34</f>
        <v>0</v>
      </c>
      <c r="B34" s="14" t="str">
        <f>C33*(B32-B33)</f>
        <v> $ -   </v>
      </c>
      <c r="C34">
        <v>4000.0</v>
      </c>
      <c r="D34" t="s">
        <v>9</v>
      </c>
      <c r="E34" s="14" t="str">
        <f>A34</f>
        <v> $ -   </v>
      </c>
      <c r="F34" s="14" t="str">
        <f>(B34+A34)</f>
        <v> $ -   </v>
      </c>
      <c r="G34" t="str">
        <f>IF(F34&gt;0, "TRADE","H")</f>
        <v>H</v>
      </c>
      <c r="V34" s="6"/>
    </row>
    <row r="35" ht="15.75" customHeight="1">
      <c r="A35" t="s">
        <v>5</v>
      </c>
      <c r="B35" t="s">
        <v>6</v>
      </c>
      <c r="C35" s="8">
        <v>46260.0</v>
      </c>
    </row>
    <row r="36" ht="15.75" customHeight="1">
      <c r="A36" s="4">
        <v>968.0</v>
      </c>
      <c r="B36" s="4">
        <v>3800.0</v>
      </c>
    </row>
    <row r="37" ht="15.75" customHeight="1">
      <c r="A37" s="13">
        <v>2.355</v>
      </c>
      <c r="B37" s="14">
        <v>0.75</v>
      </c>
    </row>
    <row r="38" ht="15.75" customHeight="1">
      <c r="A38" s="14" t="str">
        <f>$B$28</f>
        <v> $ 2.03 </v>
      </c>
      <c r="B38" s="14" t="str">
        <f>$A$28</f>
        <v> $ 0.76 </v>
      </c>
      <c r="C38">
        <v>12000.0</v>
      </c>
      <c r="D38" t="s">
        <v>8</v>
      </c>
      <c r="V38" s="6"/>
    </row>
    <row r="39" ht="15.75" customHeight="1">
      <c r="A39" s="4" t="str">
        <f>(A38-A37)*C39</f>
        <v>-1300</v>
      </c>
      <c r="B39" s="14" t="str">
        <f>C38*(B37-B38)</f>
        <v>-$ 60.00 </v>
      </c>
      <c r="C39">
        <v>4000.0</v>
      </c>
      <c r="D39" t="s">
        <v>9</v>
      </c>
      <c r="E39" s="14" t="str">
        <f>A39</f>
        <v>-$ 1,300.00 </v>
      </c>
      <c r="F39" s="14" t="str">
        <f>(B39+A39)</f>
        <v>-$ 1,360.00 </v>
      </c>
      <c r="G39" t="str">
        <f>IF(F39&gt;0, "TRADE","H")</f>
        <v>H</v>
      </c>
      <c r="V39" s="6"/>
    </row>
    <row r="40" ht="15.75" customHeight="1">
      <c r="A40" t="s">
        <v>5</v>
      </c>
      <c r="B40" t="s">
        <v>6</v>
      </c>
      <c r="C40" s="8">
        <v>46240.0</v>
      </c>
    </row>
    <row r="41" ht="15.75" customHeight="1">
      <c r="A41" s="4">
        <v>968.0</v>
      </c>
      <c r="B41" s="4">
        <v>3800.0</v>
      </c>
    </row>
    <row r="42" ht="15.75" customHeight="1">
      <c r="A42" s="13" t="str">
        <f>-0.0023+2.32</f>
        <v>2.3177</v>
      </c>
      <c r="B42" s="14">
        <v>0.685</v>
      </c>
    </row>
    <row r="43" ht="15.75" customHeight="1">
      <c r="A43" s="14" t="str">
        <f>$B$28</f>
        <v> $ 2.03 </v>
      </c>
      <c r="B43" s="14" t="str">
        <f>$A$28</f>
        <v> $ 0.76 </v>
      </c>
      <c r="C43">
        <v>12000.0</v>
      </c>
      <c r="D43" t="s">
        <v>8</v>
      </c>
      <c r="V43" s="6"/>
    </row>
    <row r="44" ht="15.75" customHeight="1">
      <c r="A44" s="4" t="str">
        <f>(A43-A42)*C44</f>
        <v>-1150.8</v>
      </c>
      <c r="B44" s="14" t="str">
        <f>C43*(B42-B43)</f>
        <v>-$ 840.00 </v>
      </c>
      <c r="C44">
        <v>4000.0</v>
      </c>
      <c r="D44" t="s">
        <v>9</v>
      </c>
      <c r="E44" s="14" t="str">
        <f>A44</f>
        <v>-$ 1,150.80 </v>
      </c>
      <c r="F44" s="14" t="str">
        <f>(B44+A44)</f>
        <v>-$ 1,990.80 </v>
      </c>
      <c r="G44" t="str">
        <f>IF(F44&gt;0, "TRADE","H")</f>
        <v>H</v>
      </c>
      <c r="V44" s="6"/>
    </row>
    <row r="45" ht="15.75" customHeight="1">
      <c r="A45" t="s">
        <v>5</v>
      </c>
      <c r="B45" t="s">
        <v>6</v>
      </c>
      <c r="C45" s="8">
        <v>46035.0</v>
      </c>
      <c r="H45" s="5" t="str">
        <f t="shared" ref="H45:H46" si="4">(I45-K45)/K45-$D$3</f>
        <v>1.82%</v>
      </c>
      <c r="I45" s="9">
        <v>23.48</v>
      </c>
      <c r="J45" s="10">
        <v>763.0</v>
      </c>
      <c r="K45">
        <v>23.76</v>
      </c>
    </row>
    <row r="46" ht="15.75" customHeight="1">
      <c r="A46" s="4">
        <v>763.0</v>
      </c>
      <c r="B46" s="4">
        <v>2382.0</v>
      </c>
      <c r="H46" s="5" t="str">
        <f t="shared" si="4"/>
        <v>-0.45%</v>
      </c>
      <c r="I46" s="11">
        <v>68.65</v>
      </c>
      <c r="J46" s="12">
        <v>2382.0</v>
      </c>
      <c r="K46">
        <v>71.1</v>
      </c>
      <c r="M46" s="6"/>
    </row>
    <row r="47" ht="15.75" customHeight="1">
      <c r="A47" s="4" t="s">
        <v>7</v>
      </c>
      <c r="B47" s="14" t="s">
        <v>7</v>
      </c>
      <c r="H47" s="5" t="str">
        <f>H45-H46</f>
        <v>2.27%</v>
      </c>
    </row>
    <row r="48" ht="15.75" customHeight="1">
      <c r="A48" s="15" t="str">
        <f>I45</f>
        <v> $ 23.48 </v>
      </c>
      <c r="B48" s="15" t="str">
        <f>I46</f>
        <v> $ 68.65 </v>
      </c>
      <c r="C48">
        <v>600.0</v>
      </c>
      <c r="D48" t="s">
        <v>8</v>
      </c>
      <c r="V48" s="6"/>
    </row>
    <row r="49" ht="15.75" customHeight="1">
      <c r="A49" s="4"/>
      <c r="B49" s="14"/>
      <c r="C49">
        <v>200.0</v>
      </c>
      <c r="D49" t="s">
        <v>9</v>
      </c>
      <c r="E49" s="14" t="str">
        <f>A49</f>
        <v/>
      </c>
      <c r="F49" s="14" t="str">
        <f>(B49+A49)</f>
        <v> $ -   </v>
      </c>
      <c r="G49" t="str">
        <f>IF(F49&gt;0, "TRADE","H")</f>
        <v>H</v>
      </c>
      <c r="V49" s="6"/>
    </row>
    <row r="50" ht="15.75" customHeight="1">
      <c r="A50" t="s">
        <v>5</v>
      </c>
      <c r="B50" t="s">
        <v>6</v>
      </c>
      <c r="C50" s="8">
        <v>46198.0</v>
      </c>
    </row>
    <row r="51" ht="15.75" customHeight="1">
      <c r="A51" s="4">
        <v>2382.0</v>
      </c>
      <c r="B51" s="4">
        <v>763.0</v>
      </c>
      <c r="M51" s="6"/>
    </row>
    <row r="52" ht="15.75" customHeight="1">
      <c r="A52" s="13">
        <v>77.1</v>
      </c>
      <c r="B52" s="14">
        <v>24.56</v>
      </c>
    </row>
    <row r="53" ht="15.75" customHeight="1">
      <c r="A53" s="14" t="str">
        <f>$B$48</f>
        <v> $ 68.65 </v>
      </c>
      <c r="B53" s="14" t="str">
        <f>$A$48</f>
        <v> $ 23.48 </v>
      </c>
      <c r="C53" s="16">
        <v>300.0</v>
      </c>
      <c r="D53" t="s">
        <v>8</v>
      </c>
      <c r="V53" s="6"/>
    </row>
    <row r="54" ht="15.75" customHeight="1">
      <c r="A54" s="4" t="str">
        <f>(A53-A52)*C53</f>
        <v>-2535</v>
      </c>
      <c r="B54" s="14" t="str">
        <f>C54*(B52-B53)</f>
        <v> $ 1,080.00 </v>
      </c>
      <c r="C54" s="16">
        <v>1000.0</v>
      </c>
      <c r="D54" t="s">
        <v>9</v>
      </c>
      <c r="E54" s="14" t="str">
        <f>A54</f>
        <v>-$ 2,535.00 </v>
      </c>
      <c r="F54" s="14" t="str">
        <f>(B54+A54)</f>
        <v>-$ 1,455.00 </v>
      </c>
      <c r="G54" t="str">
        <f>IF(F54&gt;0, "TRADE","H")</f>
        <v>H</v>
      </c>
      <c r="V54" s="6"/>
    </row>
    <row r="55" ht="15.75" customHeight="1">
      <c r="A55" t="s">
        <v>5</v>
      </c>
      <c r="B55" t="s">
        <v>6</v>
      </c>
      <c r="C55" s="8">
        <v>46198.0</v>
      </c>
    </row>
    <row r="56" ht="15.75" customHeight="1">
      <c r="A56" s="4">
        <v>2382.0</v>
      </c>
      <c r="B56" s="4">
        <v>763.0</v>
      </c>
      <c r="I56" s="17"/>
      <c r="M56" s="6"/>
    </row>
    <row r="57" ht="15.75" customHeight="1">
      <c r="A57" s="13">
        <v>76.0</v>
      </c>
      <c r="B57" s="14">
        <v>24.66</v>
      </c>
    </row>
    <row r="58" ht="15.75" customHeight="1">
      <c r="A58" s="14" t="str">
        <f>$B$48</f>
        <v> $ 68.65 </v>
      </c>
      <c r="B58" s="14" t="str">
        <f>$A$48</f>
        <v> $ 23.48 </v>
      </c>
      <c r="C58">
        <v>200.0</v>
      </c>
      <c r="D58" t="s">
        <v>8</v>
      </c>
      <c r="V58" s="6"/>
    </row>
    <row r="59" ht="15.75" customHeight="1">
      <c r="A59" s="4" t="str">
        <f>(A58-A57)*C58</f>
        <v>-1470</v>
      </c>
      <c r="B59" s="14" t="str">
        <f>C59*(B57-B58)</f>
        <v> $ 708.00 </v>
      </c>
      <c r="C59">
        <v>600.0</v>
      </c>
      <c r="D59" t="s">
        <v>9</v>
      </c>
      <c r="E59" s="14" t="str">
        <f>A59</f>
        <v>-$ 1,470.00 </v>
      </c>
      <c r="F59" s="14" t="str">
        <f>(B59+A59)</f>
        <v>-$ 762.00 </v>
      </c>
      <c r="G59" t="str">
        <f>IF(F59&gt;0, "TRADE","H")</f>
        <v>H</v>
      </c>
      <c r="V59" s="6"/>
    </row>
    <row r="60" ht="15.75" customHeight="1">
      <c r="A60" t="s">
        <v>5</v>
      </c>
      <c r="B60" t="s">
        <v>6</v>
      </c>
      <c r="C60" s="8">
        <v>46283.0</v>
      </c>
    </row>
    <row r="61" ht="15.75" customHeight="1">
      <c r="A61" s="4">
        <v>2382.0</v>
      </c>
      <c r="B61" s="4">
        <v>763.0</v>
      </c>
      <c r="I61" s="17"/>
      <c r="M61" s="6"/>
    </row>
    <row r="62" ht="15.75" customHeight="1">
      <c r="A62" s="13">
        <v>67.65</v>
      </c>
      <c r="B62" s="14">
        <v>22.78</v>
      </c>
    </row>
    <row r="63" ht="15.75" customHeight="1">
      <c r="A63" s="14" t="str">
        <f>$B$48</f>
        <v> $ 68.65 </v>
      </c>
      <c r="B63" s="14" t="str">
        <f>$A$48</f>
        <v> $ 23.48 </v>
      </c>
      <c r="C63">
        <v>200.0</v>
      </c>
      <c r="D63" t="s">
        <v>8</v>
      </c>
      <c r="V63" s="6"/>
    </row>
    <row r="64" ht="15.75" customHeight="1">
      <c r="A64" s="4" t="str">
        <f>(A63-A62)*C63</f>
        <v>200</v>
      </c>
      <c r="B64" s="14" t="str">
        <f>C64*(B62-B63)</f>
        <v>-$ 420.00 </v>
      </c>
      <c r="C64">
        <v>600.0</v>
      </c>
      <c r="D64" t="s">
        <v>9</v>
      </c>
      <c r="E64" s="14" t="str">
        <f>A64</f>
        <v> $ 200.00 </v>
      </c>
      <c r="F64" s="14" t="str">
        <f>(B64+A64)</f>
        <v>-$ 220.00 </v>
      </c>
      <c r="G64" t="str">
        <f>IF(F64&gt;0, "TRADE","H")</f>
        <v>H</v>
      </c>
      <c r="V64" s="6"/>
    </row>
    <row r="65" ht="15.75" customHeight="1">
      <c r="A65" t="s">
        <v>5</v>
      </c>
      <c r="B65" t="s">
        <v>6</v>
      </c>
      <c r="C65" s="8">
        <v>46283.0</v>
      </c>
    </row>
    <row r="66" ht="15.75" customHeight="1">
      <c r="A66" s="4">
        <v>2382.0</v>
      </c>
      <c r="B66" s="4">
        <v>763.0</v>
      </c>
      <c r="I66" s="17"/>
      <c r="M66" s="6"/>
    </row>
    <row r="67" ht="15.75" customHeight="1">
      <c r="A67" s="13">
        <v>67.1</v>
      </c>
      <c r="B67" s="14">
        <v>22.92</v>
      </c>
    </row>
    <row r="68" ht="15.75" customHeight="1">
      <c r="A68" s="14" t="str">
        <f>$B$48</f>
        <v> $ 68.65 </v>
      </c>
      <c r="B68" s="14" t="str">
        <f>$A$48</f>
        <v> $ 23.48 </v>
      </c>
      <c r="C68">
        <v>200.0</v>
      </c>
      <c r="D68" t="s">
        <v>8</v>
      </c>
      <c r="V68" s="6"/>
    </row>
    <row r="69" ht="15.75" customHeight="1">
      <c r="A69" s="4" t="str">
        <f>(A68-A67)*C68</f>
        <v>310</v>
      </c>
      <c r="B69" s="14" t="str">
        <f>C69*(B67-B68)</f>
        <v>-$ 336.00 </v>
      </c>
      <c r="C69">
        <v>600.0</v>
      </c>
      <c r="D69" t="s">
        <v>9</v>
      </c>
      <c r="E69" s="14" t="str">
        <f>A69</f>
        <v> $ 310.00 </v>
      </c>
      <c r="F69" s="14" t="str">
        <f>(B69+A69)</f>
        <v>-$ 26.00 </v>
      </c>
      <c r="G69" t="str">
        <f>IF(F69&gt;0, "TRADE","H")</f>
        <v>H</v>
      </c>
      <c r="V69" s="6"/>
    </row>
    <row r="70" ht="15.75" customHeight="1">
      <c r="A70" t="s">
        <v>5</v>
      </c>
      <c r="B70" t="s">
        <v>6</v>
      </c>
      <c r="C70" s="8">
        <v>46287.0</v>
      </c>
    </row>
    <row r="71" ht="15.75" customHeight="1">
      <c r="A71" s="4">
        <v>763.0</v>
      </c>
      <c r="B71" s="4">
        <v>2382.0</v>
      </c>
      <c r="M71" s="6"/>
    </row>
    <row r="72" ht="15.75" customHeight="1">
      <c r="A72" s="13">
        <v>23.48</v>
      </c>
      <c r="B72" s="14">
        <v>68.65</v>
      </c>
    </row>
    <row r="73" ht="15.75" customHeight="1">
      <c r="A73" s="14" t="str">
        <f>$A$48</f>
        <v> $ 23.48 </v>
      </c>
      <c r="B73" s="14" t="str">
        <f>$B$48</f>
        <v> $ 68.65 </v>
      </c>
      <c r="C73">
        <v>600.0</v>
      </c>
      <c r="D73" t="s">
        <v>8</v>
      </c>
      <c r="V73" s="6"/>
    </row>
    <row r="74" ht="15.75" customHeight="1">
      <c r="A74" s="4" t="str">
        <f>(A73-A72)*C73</f>
        <v>0</v>
      </c>
      <c r="B74" s="14" t="str">
        <f>C74*(B72-B73)</f>
        <v> $ -   </v>
      </c>
      <c r="C74">
        <v>200.0</v>
      </c>
      <c r="D74" t="s">
        <v>9</v>
      </c>
      <c r="E74" s="14" t="str">
        <f>A74</f>
        <v> $ -   </v>
      </c>
      <c r="F74" s="14" t="str">
        <f>(B74+A74)</f>
        <v> $ -   </v>
      </c>
      <c r="G74" t="str">
        <f>IF(F74&gt;0, "TRADE","H")</f>
        <v>H</v>
      </c>
      <c r="V74" s="6"/>
    </row>
    <row r="75" ht="15.75" customHeight="1">
      <c r="A75" t="s">
        <v>5</v>
      </c>
      <c r="B75" t="s">
        <v>6</v>
      </c>
      <c r="C75" s="8">
        <v>46262.0</v>
      </c>
    </row>
    <row r="76" ht="15.75" customHeight="1">
      <c r="A76" s="4">
        <v>763.0</v>
      </c>
      <c r="B76" s="4">
        <v>2382.0</v>
      </c>
      <c r="M76" s="6"/>
    </row>
    <row r="77" ht="15.75" customHeight="1">
      <c r="A77" s="13">
        <v>23.76</v>
      </c>
      <c r="B77" s="14">
        <v>65.95</v>
      </c>
    </row>
    <row r="78" ht="15.75" customHeight="1">
      <c r="A78" s="14" t="str">
        <f>$A$48</f>
        <v> $ 23.48 </v>
      </c>
      <c r="B78" s="14" t="str">
        <f>$B$48</f>
        <v> $ 68.65 </v>
      </c>
      <c r="C78">
        <v>600.0</v>
      </c>
      <c r="D78" t="s">
        <v>8</v>
      </c>
      <c r="V78" s="6"/>
    </row>
    <row r="79" ht="15.75" customHeight="1">
      <c r="A79" s="4" t="str">
        <f>(A78-A77)*C78</f>
        <v>-168</v>
      </c>
      <c r="B79" s="14" t="str">
        <f>C79*(B77-B78)</f>
        <v>-$ 540.00 </v>
      </c>
      <c r="C79">
        <v>200.0</v>
      </c>
      <c r="D79" t="s">
        <v>9</v>
      </c>
      <c r="E79" s="14" t="str">
        <f>A79</f>
        <v>-$ 168.00 </v>
      </c>
      <c r="F79" s="14" t="str">
        <f>(B79+A79)</f>
        <v>-$ 708.00 </v>
      </c>
      <c r="G79" t="str">
        <f>IF(F79&gt;0, "TRADE","H")</f>
        <v>H</v>
      </c>
      <c r="V79" s="6"/>
    </row>
    <row r="80" ht="15.75" customHeight="1">
      <c r="A80" t="s">
        <v>5</v>
      </c>
      <c r="B80" t="s">
        <v>6</v>
      </c>
      <c r="C80" s="8">
        <v>46259.0</v>
      </c>
    </row>
    <row r="81" ht="15.75" customHeight="1">
      <c r="A81" s="4">
        <v>763.0</v>
      </c>
      <c r="B81" s="4">
        <v>2382.0</v>
      </c>
      <c r="M81" s="6"/>
    </row>
    <row r="82" ht="15.75" customHeight="1">
      <c r="A82" s="13">
        <v>23.32</v>
      </c>
      <c r="B82" s="14">
        <v>60.65</v>
      </c>
    </row>
    <row r="83" ht="15.75" customHeight="1">
      <c r="A83" s="14" t="str">
        <f>$A$48</f>
        <v> $ 23.48 </v>
      </c>
      <c r="B83" s="14" t="str">
        <f>$B$48</f>
        <v> $ 68.65 </v>
      </c>
      <c r="C83">
        <v>600.0</v>
      </c>
      <c r="D83" t="s">
        <v>8</v>
      </c>
      <c r="V83" s="6"/>
    </row>
    <row r="84" ht="15.75" customHeight="1">
      <c r="A84" s="4" t="str">
        <f>(A83-A82)*C83</f>
        <v>96</v>
      </c>
      <c r="B84" s="14" t="str">
        <f>C84*(B82-B83)</f>
        <v>-$ 1,600.00 </v>
      </c>
      <c r="C84">
        <v>200.0</v>
      </c>
      <c r="D84" t="s">
        <v>9</v>
      </c>
      <c r="E84" s="14" t="str">
        <f>A84</f>
        <v> $ 96.00 </v>
      </c>
      <c r="F84" s="14" t="str">
        <f>(B84+A84)</f>
        <v>-$ 1,504.00 </v>
      </c>
      <c r="G84" t="str">
        <f>IF(F84&gt;0, "TRADE","H")</f>
        <v>H</v>
      </c>
      <c r="V84" s="6"/>
    </row>
    <row r="85" ht="15.75" customHeight="1">
      <c r="A85" s="4" t="s">
        <v>5</v>
      </c>
      <c r="B85" s="4"/>
      <c r="C85" s="8">
        <v>46184.0</v>
      </c>
      <c r="F85" s="5"/>
      <c r="H85" s="5" t="str">
        <f t="shared" ref="H85:H86" si="5">(I85-K85)/K85-$D$3</f>
        <v>-2.69%</v>
      </c>
      <c r="I85" s="9">
        <v>394.0</v>
      </c>
      <c r="J85" s="10">
        <v>388.0</v>
      </c>
      <c r="K85">
        <v>417.77</v>
      </c>
      <c r="Q85" s="6"/>
    </row>
    <row r="86" ht="15.75" customHeight="1">
      <c r="A86" s="4">
        <v>388.0</v>
      </c>
      <c r="B86" s="4">
        <v>6030.0</v>
      </c>
      <c r="F86" s="5"/>
      <c r="H86" s="5" t="str">
        <f t="shared" si="5"/>
        <v>-3.66%</v>
      </c>
      <c r="I86" s="11">
        <v>25.54</v>
      </c>
      <c r="J86" s="12">
        <v>6030.0</v>
      </c>
      <c r="K86">
        <v>27.36</v>
      </c>
      <c r="O86" s="6"/>
    </row>
    <row r="87" ht="15.75" customHeight="1">
      <c r="A87" s="13" t="s">
        <v>7</v>
      </c>
      <c r="B87" s="4" t="s">
        <v>7</v>
      </c>
      <c r="F87" s="5"/>
      <c r="H87" s="5" t="str">
        <f>H85-H86</f>
        <v>0.96%</v>
      </c>
      <c r="U87" s="6"/>
    </row>
    <row r="88" ht="15.75" customHeight="1">
      <c r="A88" s="15" t="str">
        <f>hkex</f>
        <v> $ 394.00 </v>
      </c>
      <c r="B88" s="15" t="str">
        <f>I86</f>
        <v> $ 25.54 </v>
      </c>
      <c r="C88">
        <v>2000.0</v>
      </c>
      <c r="F88" s="5"/>
      <c r="H88" s="5"/>
      <c r="Y88" s="6"/>
    </row>
    <row r="89" ht="15.75" customHeight="1">
      <c r="A89" s="4"/>
      <c r="B89" s="4"/>
      <c r="C89">
        <v>100.0</v>
      </c>
      <c r="E89" s="14" t="str">
        <f>A89</f>
        <v/>
      </c>
      <c r="F89" s="4" t="str">
        <f>(B89+A89)</f>
        <v>0</v>
      </c>
      <c r="G89" t="str">
        <f>IF(F89&gt;0, "TRADE","H")</f>
        <v>H</v>
      </c>
      <c r="H89" s="5"/>
      <c r="Y89" s="6"/>
    </row>
    <row r="90" ht="15.75" customHeight="1">
      <c r="A90" s="4" t="s">
        <v>5</v>
      </c>
      <c r="B90" s="4"/>
      <c r="C90" s="8">
        <v>46273.0</v>
      </c>
      <c r="F90" s="5"/>
      <c r="Q90" s="6"/>
    </row>
    <row r="91" ht="15.75" customHeight="1">
      <c r="A91" s="4">
        <v>6030.0</v>
      </c>
      <c r="B91" s="4">
        <v>388.0</v>
      </c>
      <c r="F91" s="5"/>
      <c r="O91" s="6"/>
    </row>
    <row r="92" ht="15.75" customHeight="1">
      <c r="A92" s="13">
        <v>25.76</v>
      </c>
      <c r="B92" s="4">
        <v>402.2</v>
      </c>
      <c r="F92" s="5"/>
      <c r="U92" s="6"/>
    </row>
    <row r="93" ht="15.75" customHeight="1">
      <c r="A93" s="14" t="str">
        <f>$B$88</f>
        <v> $ 25.54 </v>
      </c>
      <c r="B93" s="14" t="str">
        <f>$A$88</f>
        <v> $ 394.00 </v>
      </c>
      <c r="C93">
        <v>100.0</v>
      </c>
      <c r="F93" s="5"/>
      <c r="H93" s="5"/>
      <c r="Y93" s="6"/>
    </row>
    <row r="94" ht="15.75" customHeight="1">
      <c r="A94" s="4" t="str">
        <f>(A93-A92)*C94</f>
        <v>-440</v>
      </c>
      <c r="B94" s="4" t="str">
        <f>(B92-B93)*C93</f>
        <v>820</v>
      </c>
      <c r="C94">
        <v>2000.0</v>
      </c>
      <c r="E94" s="14" t="str">
        <f>A94</f>
        <v>-$ 440.00 </v>
      </c>
      <c r="F94" s="4" t="str">
        <f>(B94+A94)</f>
        <v>380</v>
      </c>
      <c r="G94" t="str">
        <f>IF(F94&gt;0, "TRADE","H")</f>
        <v>TRADE</v>
      </c>
      <c r="H94" s="5"/>
      <c r="Y94" s="6"/>
    </row>
    <row r="95" ht="15.75" customHeight="1">
      <c r="A95" s="17" t="s">
        <v>11</v>
      </c>
      <c r="B95" s="17" t="s">
        <v>12</v>
      </c>
      <c r="C95" s="8">
        <v>46142.0</v>
      </c>
      <c r="H95" s="5" t="str">
        <f t="shared" ref="H95:H96" si="6">(I95-K95)/K95-$D$3</f>
        <v>-3.43%</v>
      </c>
      <c r="I95" s="11">
        <v>81.6</v>
      </c>
      <c r="J95" s="12">
        <v>1211.0</v>
      </c>
      <c r="K95">
        <v>87.2</v>
      </c>
      <c r="L95" s="6"/>
    </row>
    <row r="96" ht="15.75" customHeight="1">
      <c r="A96" s="4">
        <v>1211.0</v>
      </c>
      <c r="B96" s="4" t="s">
        <v>13</v>
      </c>
      <c r="H96" s="5" t="str">
        <f t="shared" si="6"/>
        <v>-1.47%</v>
      </c>
      <c r="I96" s="11">
        <v>91.9</v>
      </c>
      <c r="J96" s="12" t="s">
        <v>13</v>
      </c>
      <c r="K96">
        <v>96.2</v>
      </c>
      <c r="L96" s="6"/>
      <c r="N96" s="6"/>
    </row>
    <row r="97" ht="15.75" customHeight="1">
      <c r="A97" s="4" t="s">
        <v>7</v>
      </c>
      <c r="B97" s="4" t="s">
        <v>7</v>
      </c>
    </row>
    <row r="98" ht="15.75" customHeight="1">
      <c r="A98" s="15" t="str">
        <f>byd</f>
        <v> $ 81.60 </v>
      </c>
      <c r="B98" s="15" t="str">
        <f>I96</f>
        <v> $ 91.90 </v>
      </c>
      <c r="C98">
        <v>300.0</v>
      </c>
      <c r="D98" t="s">
        <v>8</v>
      </c>
      <c r="E98" s="18"/>
      <c r="H98" s="5"/>
      <c r="Z98" s="6"/>
    </row>
    <row r="99" ht="15.75" customHeight="1">
      <c r="A99" s="14"/>
      <c r="B99" s="14"/>
      <c r="C99">
        <v>300.0</v>
      </c>
      <c r="D99" t="s">
        <v>9</v>
      </c>
      <c r="E99" s="14" t="str">
        <f>A99</f>
        <v/>
      </c>
      <c r="F99" s="14" t="str">
        <f>(B99+A99)</f>
        <v> $ -   </v>
      </c>
      <c r="G99" t="str">
        <f>IF(F99&gt;0, "TRADE","H")</f>
        <v>H</v>
      </c>
      <c r="H99" s="5"/>
      <c r="Z99" s="6"/>
    </row>
    <row r="100" ht="15.75" customHeight="1">
      <c r="A100" s="17" t="s">
        <v>14</v>
      </c>
      <c r="B100" s="17" t="s">
        <v>15</v>
      </c>
      <c r="C100" s="8">
        <v>46244.0</v>
      </c>
      <c r="H100" s="4"/>
      <c r="I100" s="4"/>
      <c r="J100" s="4"/>
      <c r="K100" s="4"/>
      <c r="L100" s="6"/>
    </row>
    <row r="101" ht="15.75" customHeight="1">
      <c r="A101" s="4" t="s">
        <v>13</v>
      </c>
      <c r="B101" s="4">
        <v>1211.0</v>
      </c>
      <c r="L101" s="6"/>
      <c r="N101" s="6"/>
    </row>
    <row r="102" ht="15.75" customHeight="1">
      <c r="A102" s="4">
        <v>106.1</v>
      </c>
      <c r="B102" s="4">
        <v>92.4</v>
      </c>
    </row>
    <row r="103" ht="15.75" customHeight="1">
      <c r="A103" s="14" t="str">
        <f>$B$98</f>
        <v> $ 91.90 </v>
      </c>
      <c r="B103" s="14" t="str">
        <f>$A$98</f>
        <v> $ 81.60 </v>
      </c>
      <c r="C103">
        <v>300.0</v>
      </c>
      <c r="D103" t="s">
        <v>8</v>
      </c>
      <c r="E103" s="18"/>
      <c r="H103" s="5"/>
      <c r="Z103" s="6"/>
    </row>
    <row r="104" ht="15.75" customHeight="1">
      <c r="A104" s="14" t="str">
        <f>C104*(A103-A102)</f>
        <v>-$ 4,260.00 </v>
      </c>
      <c r="B104" s="14" t="str">
        <f>C103*(B102-B103)</f>
        <v> $ 3,240.00 </v>
      </c>
      <c r="C104">
        <v>300.0</v>
      </c>
      <c r="D104" t="s">
        <v>9</v>
      </c>
      <c r="E104" s="14" t="str">
        <f>A104</f>
        <v>-$ 4,260.00 </v>
      </c>
      <c r="F104" s="14" t="str">
        <f>(B104+A104)</f>
        <v>-$ 1,020.00 </v>
      </c>
      <c r="G104" t="str">
        <f>IF(F104&gt;0, "TRADE","H")</f>
        <v>H</v>
      </c>
      <c r="H104" s="5"/>
      <c r="Z104" s="6"/>
    </row>
    <row r="105" ht="15.75" customHeight="1">
      <c r="A105" s="17" t="s">
        <v>16</v>
      </c>
      <c r="B105" s="17" t="s">
        <v>17</v>
      </c>
      <c r="C105" s="8">
        <v>46261.0</v>
      </c>
      <c r="H105" s="4"/>
      <c r="I105" s="4"/>
      <c r="J105" s="4"/>
      <c r="K105" s="4"/>
      <c r="L105" s="6"/>
    </row>
    <row r="106" ht="15.75" customHeight="1">
      <c r="A106" s="4">
        <v>1211.0</v>
      </c>
      <c r="B106" s="4" t="s">
        <v>13</v>
      </c>
      <c r="L106" s="6"/>
      <c r="N106" s="6"/>
    </row>
    <row r="107" ht="15.75" customHeight="1">
      <c r="A107" s="4">
        <v>85.55</v>
      </c>
      <c r="B107" s="4">
        <v>91.35</v>
      </c>
    </row>
    <row r="108" ht="15.75" customHeight="1">
      <c r="A108" s="14" t="str">
        <f>$A$98</f>
        <v> $ 81.60 </v>
      </c>
      <c r="B108" s="14" t="str">
        <f>$B$98</f>
        <v> $ 91.90 </v>
      </c>
      <c r="C108">
        <v>300.0</v>
      </c>
      <c r="D108" t="s">
        <v>8</v>
      </c>
      <c r="E108" s="18"/>
      <c r="H108" s="5"/>
      <c r="Z108" s="6"/>
    </row>
    <row r="109" ht="15.75" customHeight="1">
      <c r="A109" s="14" t="str">
        <f>C109*(A108-A107)</f>
        <v>-$ 1,185.00 </v>
      </c>
      <c r="B109" s="14" t="str">
        <f>C108*(B107-B108)</f>
        <v>-$ 165.00 </v>
      </c>
      <c r="C109">
        <v>300.0</v>
      </c>
      <c r="D109" t="s">
        <v>9</v>
      </c>
      <c r="E109" s="14" t="str">
        <f>A109</f>
        <v>-$ 1,185.00 </v>
      </c>
      <c r="F109" s="14" t="str">
        <f>(B109+A109)</f>
        <v>-$ 1,350.00 </v>
      </c>
      <c r="G109" t="str">
        <f>IF(F109&gt;0, "TRADE","H")</f>
        <v>H</v>
      </c>
      <c r="H109" s="5"/>
      <c r="Z109" s="6"/>
    </row>
    <row r="110" ht="15.75" customHeight="1">
      <c r="A110" t="s">
        <v>5</v>
      </c>
      <c r="B110" t="s">
        <v>6</v>
      </c>
      <c r="C110" s="8">
        <v>45944.0</v>
      </c>
      <c r="H110" s="5" t="str">
        <f t="shared" ref="H110:H111" si="7">(I110-K110)/K110-$D$3</f>
        <v>-2.36%</v>
      </c>
      <c r="I110" s="9">
        <v>16.09</v>
      </c>
      <c r="J110" s="10">
        <v>6680.0</v>
      </c>
      <c r="K110">
        <v>17.0</v>
      </c>
    </row>
    <row r="111" ht="15.75" customHeight="1">
      <c r="A111" s="4">
        <v>6680.0</v>
      </c>
      <c r="B111" s="4">
        <v>1211.0</v>
      </c>
      <c r="H111" s="5" t="str">
        <f t="shared" si="7"/>
        <v>-3.66%</v>
      </c>
      <c r="I111" s="11">
        <v>81.4</v>
      </c>
      <c r="J111" s="12">
        <v>1211.0</v>
      </c>
      <c r="K111">
        <v>87.2</v>
      </c>
      <c r="M111" s="6"/>
    </row>
    <row r="112" ht="15.75" customHeight="1">
      <c r="A112" s="13" t="s">
        <v>7</v>
      </c>
      <c r="B112" s="14" t="s">
        <v>7</v>
      </c>
      <c r="H112" s="5" t="str">
        <f>H110-H111</f>
        <v>1.30%</v>
      </c>
    </row>
    <row r="113" ht="15.75" customHeight="1">
      <c r="A113" s="15" t="str">
        <f>I110</f>
        <v> $ 16.09 </v>
      </c>
      <c r="B113" s="15" t="str">
        <f>I111</f>
        <v> $ 81.40 </v>
      </c>
      <c r="C113">
        <v>800.0</v>
      </c>
      <c r="D113" t="s">
        <v>8</v>
      </c>
      <c r="V113" s="6"/>
    </row>
    <row r="114" ht="15.75" customHeight="1">
      <c r="A114" s="4"/>
      <c r="B114" s="14"/>
      <c r="C114">
        <v>200.0</v>
      </c>
      <c r="D114" t="s">
        <v>9</v>
      </c>
      <c r="E114" s="14" t="str">
        <f>A114</f>
        <v/>
      </c>
      <c r="F114" s="14" t="str">
        <f>(B114+A114)</f>
        <v> $ -   </v>
      </c>
      <c r="G114" t="str">
        <f>IF(F114&gt;0, "TRADE","H")</f>
        <v>H</v>
      </c>
      <c r="V114" s="6"/>
    </row>
    <row r="115" ht="15.75" customHeight="1">
      <c r="A115" t="s">
        <v>5</v>
      </c>
      <c r="B115" t="s">
        <v>6</v>
      </c>
      <c r="C115" s="8">
        <v>46212.0</v>
      </c>
    </row>
    <row r="116" ht="15.75" customHeight="1">
      <c r="A116" s="4">
        <v>6680.0</v>
      </c>
      <c r="B116" s="4">
        <v>1211.0</v>
      </c>
      <c r="M116" s="6"/>
    </row>
    <row r="117" ht="15.75" customHeight="1">
      <c r="A117" s="13">
        <v>17.96</v>
      </c>
      <c r="B117" s="14">
        <v>84.45</v>
      </c>
    </row>
    <row r="118" ht="15.75" customHeight="1">
      <c r="A118" s="14" t="str">
        <f>$A$113</f>
        <v> $ 16.09 </v>
      </c>
      <c r="B118" s="14" t="str">
        <f>$B$113</f>
        <v> $ 81.40 </v>
      </c>
      <c r="C118" s="19">
        <v>1200.0</v>
      </c>
      <c r="D118" t="s">
        <v>8</v>
      </c>
      <c r="V118" s="6"/>
    </row>
    <row r="119" ht="15.75" customHeight="1">
      <c r="A119" s="4" t="str">
        <f>(A118-A117)*C118</f>
        <v>-2244</v>
      </c>
      <c r="B119" s="14" t="str">
        <f>C119*(B117-B118)</f>
        <v> $ 915.00 </v>
      </c>
      <c r="C119" s="19">
        <v>300.0</v>
      </c>
      <c r="D119" t="s">
        <v>9</v>
      </c>
      <c r="E119" s="14" t="str">
        <f>A119</f>
        <v>-$ 2,244.00 </v>
      </c>
      <c r="F119" s="14" t="str">
        <f>(B119+A119)</f>
        <v>-$ 1,329.00 </v>
      </c>
      <c r="G119" t="str">
        <f>IF(F119&gt;0, "TRADE","H")</f>
        <v>H</v>
      </c>
      <c r="V119" s="6"/>
    </row>
    <row r="120" ht="15.75" customHeight="1">
      <c r="A120" t="s">
        <v>5</v>
      </c>
      <c r="B120" t="s">
        <v>6</v>
      </c>
      <c r="C120" s="8">
        <v>46213.0</v>
      </c>
    </row>
    <row r="121" ht="15.75" customHeight="1">
      <c r="A121" s="4">
        <v>6680.0</v>
      </c>
      <c r="B121" s="4">
        <v>1211.0</v>
      </c>
      <c r="M121" s="6"/>
    </row>
    <row r="122" ht="15.75" customHeight="1">
      <c r="A122" s="13">
        <v>17.86</v>
      </c>
      <c r="B122" s="14">
        <v>84.95</v>
      </c>
    </row>
    <row r="123" ht="15.75" customHeight="1">
      <c r="A123" s="14" t="str">
        <f>$A$113</f>
        <v> $ 16.09 </v>
      </c>
      <c r="B123" s="14" t="str">
        <f>$B$113</f>
        <v> $ 81.40 </v>
      </c>
      <c r="C123" s="19">
        <v>1200.0</v>
      </c>
      <c r="D123" t="s">
        <v>8</v>
      </c>
      <c r="V123" s="6"/>
    </row>
    <row r="124" ht="15.75" customHeight="1">
      <c r="A124" s="4" t="str">
        <f>(A123-A122)*C123</f>
        <v>-2124</v>
      </c>
      <c r="B124" s="14" t="str">
        <f>C124*(B122-B123)</f>
        <v> $ 1,065.00 </v>
      </c>
      <c r="C124" s="19">
        <v>300.0</v>
      </c>
      <c r="D124" t="s">
        <v>9</v>
      </c>
      <c r="E124" s="14" t="str">
        <f>A124</f>
        <v>-$ 2,124.00 </v>
      </c>
      <c r="F124" s="14" t="str">
        <f>(B124+A124)</f>
        <v>-$ 1,059.00 </v>
      </c>
      <c r="G124" t="str">
        <f>IF(F124&gt;0, "TRADE","H")</f>
        <v>H</v>
      </c>
      <c r="V124" s="6"/>
    </row>
    <row r="125" ht="15.75" customHeight="1">
      <c r="A125" t="s">
        <v>5</v>
      </c>
      <c r="B125" t="s">
        <v>6</v>
      </c>
      <c r="C125" s="8">
        <v>46213.0</v>
      </c>
    </row>
    <row r="126" ht="15.75" customHeight="1">
      <c r="A126" s="4">
        <v>6680.0</v>
      </c>
      <c r="B126" s="4">
        <v>1211.0</v>
      </c>
      <c r="M126" s="6"/>
    </row>
    <row r="127" ht="15.75" customHeight="1">
      <c r="A127" s="13">
        <v>17.47</v>
      </c>
      <c r="B127" s="14">
        <v>85.65</v>
      </c>
    </row>
    <row r="128" ht="15.75" customHeight="1">
      <c r="A128" s="14" t="str">
        <f>$A$113</f>
        <v> $ 16.09 </v>
      </c>
      <c r="B128" s="14" t="str">
        <f>$B$113</f>
        <v> $ 81.40 </v>
      </c>
      <c r="C128" s="17">
        <v>800.0</v>
      </c>
      <c r="D128" t="s">
        <v>8</v>
      </c>
      <c r="V128" s="6"/>
    </row>
    <row r="129" ht="15.75" customHeight="1">
      <c r="A129" s="4" t="str">
        <f>(A128-A127)*C128</f>
        <v>-1104</v>
      </c>
      <c r="B129" s="14" t="str">
        <f>C129*(B127-B128)</f>
        <v> $ 850.00 </v>
      </c>
      <c r="C129" s="17">
        <v>200.0</v>
      </c>
      <c r="D129" t="s">
        <v>9</v>
      </c>
      <c r="E129" s="14" t="str">
        <f>A129</f>
        <v>-$ 1,104.00 </v>
      </c>
      <c r="F129" s="14" t="str">
        <f>(B129+A129)</f>
        <v>-$ 254.00 </v>
      </c>
      <c r="G129" t="str">
        <f>IF(F129&gt;0, "TRADE","H")</f>
        <v>H</v>
      </c>
      <c r="V129" s="6"/>
    </row>
    <row r="130" ht="15.75" customHeight="1">
      <c r="A130" t="s">
        <v>5</v>
      </c>
      <c r="B130" t="s">
        <v>6</v>
      </c>
      <c r="C130" s="8">
        <v>46287.0</v>
      </c>
    </row>
    <row r="131" ht="15.75" customHeight="1">
      <c r="A131" s="4">
        <v>6680.0</v>
      </c>
      <c r="B131" s="4">
        <v>1211.0</v>
      </c>
      <c r="M131" s="6"/>
    </row>
    <row r="132" ht="15.75" customHeight="1">
      <c r="A132" s="13">
        <v>16.09</v>
      </c>
      <c r="B132" s="14">
        <v>81.4</v>
      </c>
    </row>
    <row r="133" ht="15.75" customHeight="1">
      <c r="A133" s="14" t="str">
        <f>$A$113</f>
        <v> $ 16.09 </v>
      </c>
      <c r="B133" s="14" t="str">
        <f>$B$113</f>
        <v> $ 81.40 </v>
      </c>
      <c r="C133" s="17">
        <v>800.0</v>
      </c>
      <c r="D133" t="s">
        <v>8</v>
      </c>
      <c r="V133" s="6"/>
    </row>
    <row r="134" ht="15.75" customHeight="1">
      <c r="A134" s="4" t="str">
        <f>(A133-A132)*C133</f>
        <v>0</v>
      </c>
      <c r="B134" s="14" t="str">
        <f>C134*(B132-B133)</f>
        <v> $ -   </v>
      </c>
      <c r="C134" s="17">
        <v>200.0</v>
      </c>
      <c r="D134" t="s">
        <v>9</v>
      </c>
      <c r="E134" s="14" t="str">
        <f>A134</f>
        <v> $ -   </v>
      </c>
      <c r="F134" s="14" t="str">
        <f>(B134+A134)</f>
        <v> $ -   </v>
      </c>
      <c r="G134" t="str">
        <f>IF(F134&gt;0, "TRADE","H")</f>
        <v>H</v>
      </c>
      <c r="V134" s="6"/>
    </row>
    <row r="135" ht="15.75" customHeight="1">
      <c r="A135" t="s">
        <v>5</v>
      </c>
      <c r="B135" t="s">
        <v>6</v>
      </c>
      <c r="C135" s="8">
        <v>46286.0</v>
      </c>
    </row>
    <row r="136" ht="15.75" customHeight="1">
      <c r="A136" s="4">
        <v>1211.0</v>
      </c>
      <c r="B136" s="4">
        <v>6680.0</v>
      </c>
      <c r="M136" s="6"/>
    </row>
    <row r="137" ht="15.75" customHeight="1">
      <c r="A137" s="13">
        <v>81.2</v>
      </c>
      <c r="B137" s="14">
        <v>15.96</v>
      </c>
    </row>
    <row r="138" ht="15.75" customHeight="1">
      <c r="A138" s="14" t="str">
        <f>$B$113</f>
        <v> $ 81.40 </v>
      </c>
      <c r="B138" s="14" t="str">
        <f>$A$113</f>
        <v> $ 16.09 </v>
      </c>
      <c r="C138" s="17">
        <v>200.0</v>
      </c>
      <c r="D138" t="s">
        <v>8</v>
      </c>
      <c r="V138" s="6"/>
    </row>
    <row r="139" ht="15.75" customHeight="1">
      <c r="A139" s="4" t="str">
        <f>(A138-A137)*C138</f>
        <v>40</v>
      </c>
      <c r="B139" s="14" t="str">
        <f>C139*(B137-B138)</f>
        <v>-$ 104.00 </v>
      </c>
      <c r="C139" s="17">
        <v>800.0</v>
      </c>
      <c r="D139" t="s">
        <v>9</v>
      </c>
      <c r="E139" s="14" t="str">
        <f>A139</f>
        <v> $ 40.00 </v>
      </c>
      <c r="F139" s="14" t="str">
        <f>(B139+A139)</f>
        <v>-$ 64.00 </v>
      </c>
      <c r="G139" t="str">
        <f>IF(F139&gt;0, "TRADE","H")</f>
        <v>H</v>
      </c>
      <c r="V139" s="6"/>
    </row>
    <row r="140" ht="15.75" customHeight="1">
      <c r="A140" t="s">
        <v>5</v>
      </c>
      <c r="B140" t="s">
        <v>6</v>
      </c>
      <c r="C140" s="8">
        <v>46267.0</v>
      </c>
    </row>
    <row r="141" ht="15.75" customHeight="1">
      <c r="A141" s="4">
        <v>1211.0</v>
      </c>
      <c r="B141" s="4">
        <v>6680.0</v>
      </c>
      <c r="M141" s="6"/>
    </row>
    <row r="142" ht="15.75" customHeight="1">
      <c r="A142" s="13">
        <v>84.75</v>
      </c>
      <c r="B142" s="14">
        <v>16.25</v>
      </c>
    </row>
    <row r="143" ht="15.75" customHeight="1">
      <c r="A143" s="14" t="str">
        <f>$B$113</f>
        <v> $ 81.40 </v>
      </c>
      <c r="B143" s="14" t="str">
        <f>$A$113</f>
        <v> $ 16.09 </v>
      </c>
      <c r="C143" s="17">
        <v>200.0</v>
      </c>
      <c r="D143" t="s">
        <v>8</v>
      </c>
      <c r="V143" s="6"/>
    </row>
    <row r="144" ht="15.75" customHeight="1">
      <c r="A144" s="4" t="str">
        <f>(A143-A142)*C143</f>
        <v>-670</v>
      </c>
      <c r="B144" s="14" t="str">
        <f>C144*(B142-B143)</f>
        <v> $ 128.00 </v>
      </c>
      <c r="C144" s="17">
        <v>800.0</v>
      </c>
      <c r="D144" t="s">
        <v>9</v>
      </c>
      <c r="E144" s="14" t="str">
        <f>A144</f>
        <v>-$ 670.00 </v>
      </c>
      <c r="F144" s="14" t="str">
        <f>(B144+A144)</f>
        <v>-$ 542.00 </v>
      </c>
      <c r="G144" t="str">
        <f>IF(F144&gt;0, "TRADE","H")</f>
        <v>H</v>
      </c>
      <c r="V144" s="6"/>
    </row>
    <row r="145" ht="15.75" customHeight="1">
      <c r="A145" t="s">
        <v>5</v>
      </c>
      <c r="B145" t="s">
        <v>6</v>
      </c>
      <c r="C145" s="8">
        <v>46265.0</v>
      </c>
    </row>
    <row r="146" ht="15.75" customHeight="1">
      <c r="A146" s="4">
        <v>1211.0</v>
      </c>
      <c r="B146" s="4">
        <v>6680.0</v>
      </c>
      <c r="M146" s="6"/>
    </row>
    <row r="147" ht="15.75" customHeight="1">
      <c r="A147" s="13">
        <v>88.5</v>
      </c>
      <c r="B147" s="14">
        <v>16.97</v>
      </c>
    </row>
    <row r="148" ht="15.75" customHeight="1">
      <c r="A148" s="14" t="str">
        <f>$B$113</f>
        <v> $ 81.40 </v>
      </c>
      <c r="B148" s="14" t="str">
        <f>$A$113</f>
        <v> $ 16.09 </v>
      </c>
      <c r="C148" s="19">
        <v>300.0</v>
      </c>
      <c r="D148" t="s">
        <v>8</v>
      </c>
      <c r="V148" s="6"/>
    </row>
    <row r="149" ht="15.75" customHeight="1">
      <c r="A149" s="4" t="str">
        <f>(A148-A147)*C148</f>
        <v>-2130</v>
      </c>
      <c r="B149" s="14" t="str">
        <f>C149*(B147-B148)</f>
        <v> $ 1,056.00 </v>
      </c>
      <c r="C149" s="19">
        <v>1200.0</v>
      </c>
      <c r="D149" t="s">
        <v>9</v>
      </c>
      <c r="E149" s="14" t="str">
        <f>A149</f>
        <v>-$ 2,130.00 </v>
      </c>
      <c r="F149" s="14" t="str">
        <f>(B149+A149)</f>
        <v>-$ 1,074.00 </v>
      </c>
      <c r="G149" t="str">
        <f>IF(F149&gt;0, "TRADE","H")</f>
        <v>H</v>
      </c>
      <c r="V149" s="6"/>
    </row>
    <row r="150" ht="15.75" customHeight="1">
      <c r="A150" t="s">
        <v>5</v>
      </c>
      <c r="B150" t="s">
        <v>6</v>
      </c>
      <c r="C150" s="8">
        <v>46261.0</v>
      </c>
    </row>
    <row r="151" ht="15.75" customHeight="1">
      <c r="A151" s="4">
        <v>1211.0</v>
      </c>
      <c r="B151" s="4">
        <v>6680.0</v>
      </c>
      <c r="M151" s="6"/>
    </row>
    <row r="152" ht="15.75" customHeight="1">
      <c r="A152" s="13">
        <v>91.25</v>
      </c>
      <c r="B152" s="14">
        <v>17.23</v>
      </c>
    </row>
    <row r="153" ht="15.75" customHeight="1">
      <c r="A153" s="14" t="str">
        <f>$B$113</f>
        <v> $ 81.40 </v>
      </c>
      <c r="B153" s="14" t="str">
        <f>$A$113</f>
        <v> $ 16.09 </v>
      </c>
      <c r="C153" s="17">
        <v>200.0</v>
      </c>
      <c r="D153" t="s">
        <v>8</v>
      </c>
      <c r="V153" s="6"/>
    </row>
    <row r="154" ht="15.75" customHeight="1">
      <c r="A154" s="4" t="str">
        <f>(A153-A152)*C153</f>
        <v>-1970</v>
      </c>
      <c r="B154" s="14" t="str">
        <f>C154*(B152-B153)</f>
        <v> $ 912.00 </v>
      </c>
      <c r="C154" s="17">
        <v>800.0</v>
      </c>
      <c r="D154" t="s">
        <v>9</v>
      </c>
      <c r="E154" s="14" t="str">
        <f>A154</f>
        <v>-$ 1,970.00 </v>
      </c>
      <c r="F154" s="14" t="str">
        <f>(B154+A154)</f>
        <v>-$ 1,058.00 </v>
      </c>
      <c r="G154" t="str">
        <f>IF(F154&gt;0, "TRADE","H")</f>
        <v>H</v>
      </c>
      <c r="V154" s="6"/>
    </row>
    <row r="155" ht="15.75" customHeight="1">
      <c r="A155" s="4">
        <v>2024.0</v>
      </c>
      <c r="B155" s="14"/>
      <c r="E155" s="14"/>
      <c r="H155" s="5" t="str">
        <f t="shared" ref="H155:H156" si="8">(I155-K155)/K155-$D$3</f>
        <v>5.10%</v>
      </c>
      <c r="I155" s="9">
        <v>0.194</v>
      </c>
      <c r="J155" s="10">
        <v>2007.0</v>
      </c>
      <c r="K155">
        <v>0.19</v>
      </c>
      <c r="V155" s="6"/>
    </row>
    <row r="156" ht="15.75" customHeight="1">
      <c r="A156" t="s">
        <v>5</v>
      </c>
      <c r="B156" t="s">
        <v>6</v>
      </c>
      <c r="C156" s="8">
        <v>45345.0</v>
      </c>
      <c r="H156" s="5" t="str">
        <f t="shared" si="8"/>
        <v>0.52%</v>
      </c>
      <c r="I156" s="11">
        <v>0.59</v>
      </c>
      <c r="J156" s="12">
        <v>1918.0</v>
      </c>
      <c r="K156">
        <v>0.605</v>
      </c>
    </row>
    <row r="157" ht="15.75" customHeight="1">
      <c r="A157" s="4">
        <v>2007.0</v>
      </c>
      <c r="B157" s="4">
        <v>1918.0</v>
      </c>
      <c r="H157" s="5" t="str">
        <f>H155-H156</f>
        <v>4.58%</v>
      </c>
      <c r="M157" s="6"/>
    </row>
    <row r="158" ht="15.75" customHeight="1">
      <c r="A158" s="13"/>
      <c r="B158" s="14"/>
    </row>
    <row r="159" ht="15.75" customHeight="1">
      <c r="A159" s="15" t="str">
        <f>I155</f>
        <v> $ 0.19 </v>
      </c>
      <c r="B159" s="15" t="str">
        <f>I156</f>
        <v> $ 0.59 </v>
      </c>
      <c r="C159">
        <v>16000.0</v>
      </c>
      <c r="D159" t="s">
        <v>8</v>
      </c>
      <c r="V159" s="6"/>
    </row>
    <row r="160" ht="15.75" customHeight="1">
      <c r="A160" s="4"/>
      <c r="B160" s="14"/>
      <c r="C160">
        <v>6000.0</v>
      </c>
      <c r="D160" t="s">
        <v>9</v>
      </c>
      <c r="E160" s="14" t="str">
        <f>A160</f>
        <v/>
      </c>
      <c r="F160" s="14" t="str">
        <f>(B160+A160)</f>
        <v> $ -   </v>
      </c>
      <c r="G160" t="str">
        <f>IF(F160&gt;0, "TRADE","H")</f>
        <v>H</v>
      </c>
      <c r="V160" s="6"/>
    </row>
    <row r="161" ht="15.75" customHeight="1">
      <c r="A161" t="s">
        <v>5</v>
      </c>
      <c r="B161" t="s">
        <v>6</v>
      </c>
      <c r="C161" s="8">
        <v>46077.0</v>
      </c>
    </row>
    <row r="162" ht="15.75" customHeight="1">
      <c r="A162" s="4">
        <v>1918.0</v>
      </c>
      <c r="B162" s="4">
        <v>1918.0</v>
      </c>
      <c r="M162" s="6"/>
    </row>
    <row r="163" ht="15.75" customHeight="1">
      <c r="A163" s="13">
        <v>1.24</v>
      </c>
      <c r="B163" s="14">
        <v>0.31</v>
      </c>
    </row>
    <row r="164" ht="15.75" customHeight="1">
      <c r="A164" s="14" t="str">
        <f>$B$159</f>
        <v> $ 0.59 </v>
      </c>
      <c r="B164" s="14" t="str">
        <f>$A$159</f>
        <v> $ 0.19 </v>
      </c>
      <c r="C164">
        <v>6000.0</v>
      </c>
      <c r="D164" t="s">
        <v>8</v>
      </c>
      <c r="V164" s="6"/>
    </row>
    <row r="165" ht="15.75" customHeight="1">
      <c r="A165" s="4" t="str">
        <f>(A164-A163)*C164</f>
        <v>-3900</v>
      </c>
      <c r="B165" s="14" t="str">
        <f>C165*(B163-B164)</f>
        <v> $ 1,856.00 </v>
      </c>
      <c r="C165">
        <v>16000.0</v>
      </c>
      <c r="D165" t="s">
        <v>9</v>
      </c>
      <c r="E165" s="14" t="str">
        <f>A165</f>
        <v>-$ 3,900.00 </v>
      </c>
      <c r="F165" s="14" t="str">
        <f>(B165+A165)</f>
        <v>-$ 2,044.00 </v>
      </c>
      <c r="G165" t="str">
        <f>IF(F165&gt;0, "TRADE","H")</f>
        <v>H</v>
      </c>
      <c r="V165" s="6"/>
    </row>
    <row r="166" ht="15.75" customHeight="1">
      <c r="A166" t="s">
        <v>5</v>
      </c>
      <c r="B166" t="s">
        <v>6</v>
      </c>
      <c r="C166" s="8">
        <v>46170.0</v>
      </c>
    </row>
    <row r="167" ht="15.75" customHeight="1">
      <c r="A167" s="4">
        <v>1918.0</v>
      </c>
      <c r="B167" s="4">
        <v>1918.0</v>
      </c>
      <c r="M167" s="6"/>
    </row>
    <row r="168" ht="15.75" customHeight="1">
      <c r="A168" s="13">
        <v>0.9</v>
      </c>
      <c r="B168" s="14">
        <v>0.21</v>
      </c>
    </row>
    <row r="169" ht="15.75" customHeight="1">
      <c r="A169" s="14" t="str">
        <f>$B$159</f>
        <v> $ 0.59 </v>
      </c>
      <c r="B169" s="14" t="str">
        <f>$A$159</f>
        <v> $ 0.19 </v>
      </c>
      <c r="C169">
        <v>6000.0</v>
      </c>
      <c r="D169" t="s">
        <v>8</v>
      </c>
      <c r="V169" s="6"/>
    </row>
    <row r="170" ht="15.75" customHeight="1">
      <c r="A170" s="4" t="str">
        <f>(A169-A168)*C169</f>
        <v>-1860</v>
      </c>
      <c r="B170" s="14" t="str">
        <f>C170*(B168-B169)</f>
        <v> $ 256.00 </v>
      </c>
      <c r="C170">
        <v>16000.0</v>
      </c>
      <c r="D170" t="s">
        <v>9</v>
      </c>
      <c r="E170" s="14" t="str">
        <f>A170</f>
        <v>-$ 1,860.00 </v>
      </c>
      <c r="F170" s="14" t="str">
        <f>(B170+A170)</f>
        <v>-$ 1,604.00 </v>
      </c>
      <c r="G170" t="str">
        <f>IF(F170&gt;0, "TRADE","H")</f>
        <v>H</v>
      </c>
      <c r="V170" s="6"/>
    </row>
    <row r="171" ht="15.75" customHeight="1">
      <c r="A171" t="s">
        <v>5</v>
      </c>
      <c r="B171" t="s">
        <v>6</v>
      </c>
      <c r="H171" s="5" t="str">
        <f t="shared" ref="H171:H172" si="9">(I171-K171)/K171-$D$3</f>
        <v>11.42%</v>
      </c>
      <c r="I171" s="9">
        <v>104.3</v>
      </c>
      <c r="J171" s="10" t="s">
        <v>18</v>
      </c>
      <c r="K171">
        <v>96.2</v>
      </c>
      <c r="Z171" s="6"/>
    </row>
    <row r="172" ht="15.75" customHeight="1">
      <c r="A172" s="4" t="s">
        <v>19</v>
      </c>
      <c r="B172" s="4">
        <v>700.0</v>
      </c>
      <c r="H172" s="5" t="str">
        <f t="shared" si="9"/>
        <v>1.19%</v>
      </c>
      <c r="I172" s="11">
        <v>444.8</v>
      </c>
      <c r="J172" s="12">
        <v>700.0</v>
      </c>
      <c r="K172">
        <v>453.0</v>
      </c>
      <c r="Z172" s="6"/>
    </row>
    <row r="173" ht="15.75" customHeight="1">
      <c r="A173" s="4">
        <v>150.0</v>
      </c>
      <c r="B173" s="4" t="str">
        <f>-3.4+352</f>
        <v>348.6</v>
      </c>
      <c r="H173" s="5" t="str">
        <f>H171-H172</f>
        <v>10.23%</v>
      </c>
      <c r="Z173" s="6"/>
    </row>
    <row r="174" ht="15.75" customHeight="1">
      <c r="A174" s="15" t="str">
        <f>I171</f>
        <v> $ 104.30 </v>
      </c>
      <c r="B174" s="15" t="str">
        <f>I172</f>
        <v> $ 444.80 </v>
      </c>
      <c r="C174">
        <v>100.0</v>
      </c>
      <c r="D174" t="s">
        <v>8</v>
      </c>
      <c r="H174" s="5"/>
      <c r="Z174" s="6"/>
    </row>
    <row r="175" ht="15.75" customHeight="1">
      <c r="A175" s="4" t="str">
        <f>(A174-A173)*C175</f>
        <v>-13710</v>
      </c>
      <c r="B175" s="4" t="str">
        <f>(B173-B174)*C174</f>
        <v>-9620</v>
      </c>
      <c r="C175">
        <v>300.0</v>
      </c>
      <c r="D175" t="s">
        <v>9</v>
      </c>
      <c r="E175" s="14" t="str">
        <f>A175</f>
        <v>-$ 13,710.00 </v>
      </c>
      <c r="F175" s="4" t="str">
        <f>(B175+A175)</f>
        <v>-23330</v>
      </c>
      <c r="G175" t="str">
        <f>IF(F175&gt;0, "TRADE","H")</f>
        <v>H</v>
      </c>
      <c r="H175" s="5"/>
      <c r="Z175" s="6"/>
    </row>
    <row r="176" ht="15.75" customHeight="1">
      <c r="A176" t="s">
        <v>5</v>
      </c>
      <c r="B176" t="s">
        <v>6</v>
      </c>
      <c r="C176" s="8">
        <v>45908.0</v>
      </c>
      <c r="H176" s="5" t="str">
        <f t="shared" ref="H176:H177" si="10">(I176-K176)/K176-$D$3</f>
        <v>-2.77%</v>
      </c>
      <c r="I176" s="9">
        <v>67.0</v>
      </c>
      <c r="J176" s="10">
        <v>2382.0</v>
      </c>
      <c r="K176">
        <v>71.1</v>
      </c>
      <c r="N176" s="6"/>
    </row>
    <row r="177" ht="15.75" customHeight="1">
      <c r="A177" s="4">
        <v>2382.0</v>
      </c>
      <c r="B177" s="4" t="s">
        <v>19</v>
      </c>
      <c r="H177" s="5" t="str">
        <f t="shared" si="10"/>
        <v>-3.97%</v>
      </c>
      <c r="I177" s="9">
        <v>89.5</v>
      </c>
      <c r="J177" s="12" t="s">
        <v>13</v>
      </c>
      <c r="K177">
        <v>96.2</v>
      </c>
    </row>
    <row r="178" ht="15.75" customHeight="1">
      <c r="A178" s="13">
        <v>80.8</v>
      </c>
      <c r="B178" s="4">
        <v>104.8</v>
      </c>
      <c r="H178" s="5" t="str">
        <f>H176-H177</f>
        <v>1.20%</v>
      </c>
      <c r="I178" s="17"/>
      <c r="Y178" s="6"/>
    </row>
    <row r="179" ht="15.75" customHeight="1">
      <c r="A179" s="15" t="str">
        <f>I176</f>
        <v> $ 67.00 </v>
      </c>
      <c r="B179" s="15" t="str">
        <f>I177</f>
        <v> $ 89.50 </v>
      </c>
      <c r="C179">
        <v>200.0</v>
      </c>
      <c r="H179" s="5"/>
      <c r="Y179" s="6"/>
    </row>
    <row r="180" ht="15.75" customHeight="1">
      <c r="A180" s="4"/>
      <c r="B180" s="4"/>
      <c r="C180">
        <v>200.0</v>
      </c>
      <c r="E180" s="14" t="str">
        <f>A180</f>
        <v/>
      </c>
      <c r="F180" s="4" t="str">
        <f>(B180+A180)</f>
        <v>0</v>
      </c>
      <c r="G180" t="str">
        <f>IF(F180&gt;0, "TRADE","H")</f>
        <v>H</v>
      </c>
      <c r="H180" s="5"/>
      <c r="N180" s="6"/>
      <c r="Y180" s="6"/>
    </row>
    <row r="181" ht="15.75" customHeight="1">
      <c r="A181" t="s">
        <v>5</v>
      </c>
      <c r="B181" t="s">
        <v>6</v>
      </c>
      <c r="C181" s="8">
        <v>46265.0</v>
      </c>
      <c r="J181" s="6"/>
    </row>
    <row r="182" ht="15.75" customHeight="1">
      <c r="A182" s="4" t="s">
        <v>19</v>
      </c>
      <c r="B182" s="4">
        <v>2382.0</v>
      </c>
    </row>
    <row r="183" ht="15.75" customHeight="1">
      <c r="A183" s="13">
        <v>93.7</v>
      </c>
      <c r="B183" s="4">
        <v>68.0</v>
      </c>
      <c r="U183" s="6"/>
    </row>
    <row r="184" ht="15.75" customHeight="1">
      <c r="A184" s="14" t="str">
        <f>$B$179</f>
        <v> $ 89.50 </v>
      </c>
      <c r="B184" s="14" t="str">
        <f>$A$179</f>
        <v> $ 67.00 </v>
      </c>
      <c r="C184">
        <v>200.0</v>
      </c>
      <c r="H184" s="5"/>
      <c r="Y184" s="6"/>
    </row>
    <row r="185" ht="15.75" customHeight="1">
      <c r="A185" s="4" t="str">
        <f>(A184-A183)*C185</f>
        <v>-840</v>
      </c>
      <c r="B185" s="4" t="str">
        <f>(B183-B184)*C184</f>
        <v>200</v>
      </c>
      <c r="C185">
        <v>200.0</v>
      </c>
      <c r="E185" s="14" t="str">
        <f>A185</f>
        <v>-$ 840.00 </v>
      </c>
      <c r="F185" s="4" t="str">
        <f>(B185+A185)</f>
        <v>-640</v>
      </c>
      <c r="G185" t="str">
        <f>IF(F185&gt;0, "TRADE","H")</f>
        <v>H</v>
      </c>
      <c r="H185" s="5"/>
      <c r="N185" s="6"/>
      <c r="Y185" s="6"/>
    </row>
    <row r="186" ht="15.75" customHeight="1">
      <c r="A186" t="s">
        <v>5</v>
      </c>
      <c r="B186" t="s">
        <v>6</v>
      </c>
      <c r="C186" s="8">
        <v>46283.0</v>
      </c>
      <c r="H186" s="5"/>
      <c r="N186" s="6"/>
    </row>
    <row r="187" ht="15.75" customHeight="1">
      <c r="A187" s="4">
        <v>2382.0</v>
      </c>
      <c r="B187" s="4" t="s">
        <v>19</v>
      </c>
      <c r="H187" s="5"/>
    </row>
    <row r="188" ht="15.75" customHeight="1">
      <c r="A188" s="13">
        <v>67.0</v>
      </c>
      <c r="B188" s="4">
        <v>89.5</v>
      </c>
      <c r="H188" s="5"/>
      <c r="Y188" s="6"/>
    </row>
    <row r="189" ht="15.75" customHeight="1">
      <c r="A189" s="14" t="str">
        <f>$A$179</f>
        <v> $ 67.00 </v>
      </c>
      <c r="B189" s="14" t="str">
        <f>$B$179</f>
        <v> $ 89.50 </v>
      </c>
      <c r="C189">
        <v>200.0</v>
      </c>
      <c r="H189" s="5"/>
      <c r="Y189" s="6"/>
    </row>
    <row r="190" ht="15.75" customHeight="1">
      <c r="A190" s="4" t="str">
        <f>(A189-A188)*C190</f>
        <v>0</v>
      </c>
      <c r="B190" s="4" t="str">
        <f>(B188-B189)*C189</f>
        <v>0</v>
      </c>
      <c r="C190">
        <v>200.0</v>
      </c>
      <c r="E190" s="14" t="str">
        <f>A190</f>
        <v> $ -   </v>
      </c>
      <c r="F190" s="4" t="str">
        <f>(B190+A190)</f>
        <v>0</v>
      </c>
      <c r="G190" t="str">
        <f>IF(F190&gt;0, "TRADE","H")</f>
        <v>H</v>
      </c>
      <c r="H190" s="5"/>
      <c r="N190" s="6"/>
      <c r="Y190" s="6"/>
    </row>
    <row r="191" ht="15.75" customHeight="1">
      <c r="A191" t="s">
        <v>5</v>
      </c>
      <c r="B191" t="s">
        <v>6</v>
      </c>
      <c r="C191" s="8">
        <v>45965.0</v>
      </c>
      <c r="H191" s="5" t="str">
        <f t="shared" ref="H191:H192" si="11">(I191-K191)/K191-$D$3</f>
        <v>-1.90%</v>
      </c>
      <c r="I191" s="9">
        <v>80.65</v>
      </c>
      <c r="J191" s="10">
        <v>9880.0</v>
      </c>
      <c r="K191">
        <v>84.8</v>
      </c>
      <c r="Z191" s="6"/>
    </row>
    <row r="192" ht="15.75" customHeight="1">
      <c r="A192" s="4">
        <v>9880.0</v>
      </c>
      <c r="B192" s="4" t="s">
        <v>19</v>
      </c>
      <c r="H192" s="5" t="str">
        <f t="shared" si="11"/>
        <v>-1.01%</v>
      </c>
      <c r="I192" s="9">
        <v>92.35</v>
      </c>
      <c r="J192" s="12" t="s">
        <v>13</v>
      </c>
      <c r="K192">
        <v>96.2</v>
      </c>
      <c r="Z192" s="6"/>
    </row>
    <row r="193" ht="15.75" customHeight="1">
      <c r="A193" s="13">
        <v>137.1</v>
      </c>
      <c r="B193" s="4">
        <v>125.1</v>
      </c>
      <c r="H193" s="5" t="str">
        <f>H191-H192</f>
        <v>-0.89%</v>
      </c>
      <c r="I193" s="17"/>
      <c r="Z193" s="6"/>
    </row>
    <row r="194" ht="15.75" customHeight="1">
      <c r="A194" s="15" t="str">
        <f>I191</f>
        <v> $ 80.65 </v>
      </c>
      <c r="B194" s="15" t="str">
        <f>I192</f>
        <v> $ 92.35 </v>
      </c>
      <c r="C194">
        <v>200.0</v>
      </c>
      <c r="D194" t="s">
        <v>8</v>
      </c>
      <c r="H194" s="5"/>
      <c r="Z194" s="6"/>
    </row>
    <row r="195" ht="15.75" customHeight="1">
      <c r="A195" s="4" t="str">
        <f>(A194-A193)*C195</f>
        <v>-11290</v>
      </c>
      <c r="B195" s="4" t="str">
        <f>(B193-B194)*C194</f>
        <v>6550</v>
      </c>
      <c r="C195">
        <v>200.0</v>
      </c>
      <c r="D195" t="s">
        <v>9</v>
      </c>
      <c r="E195" s="14" t="str">
        <f>A195</f>
        <v>-$ 11,290.00 </v>
      </c>
      <c r="F195" s="4" t="str">
        <f>(B195+A195)</f>
        <v>-4740</v>
      </c>
      <c r="G195" t="str">
        <f>IF(F195&gt;0, "TRADE","H")</f>
        <v>H</v>
      </c>
      <c r="H195" s="5"/>
      <c r="Z195" s="6"/>
    </row>
    <row r="196" ht="15.75" customHeight="1">
      <c r="A196" t="s">
        <v>5</v>
      </c>
      <c r="B196" t="s">
        <v>6</v>
      </c>
      <c r="C196" s="8">
        <v>46240.0</v>
      </c>
      <c r="H196" s="5"/>
      <c r="Z196" s="6"/>
    </row>
    <row r="197" ht="15.75" customHeight="1">
      <c r="A197" s="4" t="s">
        <v>19</v>
      </c>
      <c r="B197" s="4">
        <v>9880.0</v>
      </c>
      <c r="H197" s="5"/>
      <c r="Z197" s="6"/>
    </row>
    <row r="198" ht="15.75" customHeight="1">
      <c r="A198" s="13">
        <v>108.9</v>
      </c>
      <c r="B198" s="4">
        <v>88.3</v>
      </c>
      <c r="H198" s="5"/>
      <c r="Z198" s="6"/>
    </row>
    <row r="199" ht="15.75" customHeight="1">
      <c r="A199" s="14" t="str">
        <f>$B$194</f>
        <v> $ 92.35 </v>
      </c>
      <c r="B199" s="14" t="str">
        <f>$A$194</f>
        <v> $ 80.65 </v>
      </c>
      <c r="C199">
        <v>200.0</v>
      </c>
      <c r="D199" t="s">
        <v>8</v>
      </c>
      <c r="H199" s="5"/>
      <c r="Z199" s="6"/>
    </row>
    <row r="200" ht="15.75" customHeight="1">
      <c r="A200" s="4" t="str">
        <f>(A199-A198)*C200</f>
        <v>-3310</v>
      </c>
      <c r="B200" s="4" t="str">
        <f>(B198-B199)*C199</f>
        <v>1530</v>
      </c>
      <c r="C200">
        <v>200.0</v>
      </c>
      <c r="D200" t="s">
        <v>9</v>
      </c>
      <c r="E200" s="14" t="str">
        <f>A200</f>
        <v>-$ 3,310.00 </v>
      </c>
      <c r="F200" s="4" t="str">
        <f>(B200+A200)</f>
        <v>-1780</v>
      </c>
      <c r="G200" t="str">
        <f>IF(F200&gt;0, "TRADE","H")</f>
        <v>H</v>
      </c>
      <c r="H200" s="5"/>
      <c r="Z200" s="6"/>
    </row>
    <row r="201" ht="15.75" customHeight="1">
      <c r="A201" t="s">
        <v>5</v>
      </c>
      <c r="B201" t="s">
        <v>6</v>
      </c>
      <c r="C201" s="8">
        <v>46245.0</v>
      </c>
      <c r="H201" s="5"/>
      <c r="Z201" s="6"/>
    </row>
    <row r="202" ht="15.75" customHeight="1">
      <c r="A202" s="4" t="s">
        <v>19</v>
      </c>
      <c r="B202" s="4">
        <v>9880.0</v>
      </c>
      <c r="H202" s="5"/>
      <c r="Z202" s="6"/>
    </row>
    <row r="203" ht="15.75" customHeight="1">
      <c r="A203" s="13">
        <v>105.5</v>
      </c>
      <c r="B203" s="4">
        <v>88.75</v>
      </c>
      <c r="H203" s="5"/>
      <c r="Z203" s="6"/>
    </row>
    <row r="204" ht="15.75" customHeight="1">
      <c r="A204" s="14" t="str">
        <f>$B$194</f>
        <v> $ 92.35 </v>
      </c>
      <c r="B204" s="14" t="str">
        <f>$A$194</f>
        <v> $ 80.65 </v>
      </c>
      <c r="C204">
        <v>200.0</v>
      </c>
      <c r="D204" t="s">
        <v>8</v>
      </c>
      <c r="H204" s="5"/>
      <c r="Z204" s="6"/>
    </row>
    <row r="205" ht="15.75" customHeight="1">
      <c r="A205" s="4" t="str">
        <f>(A204-A203)*C205</f>
        <v>-2630</v>
      </c>
      <c r="B205" s="4" t="str">
        <f>(B203-B204)*C204</f>
        <v>1620</v>
      </c>
      <c r="C205">
        <v>200.0</v>
      </c>
      <c r="D205" t="s">
        <v>9</v>
      </c>
      <c r="E205" s="14" t="str">
        <f>A205</f>
        <v>-$ 2,630.00 </v>
      </c>
      <c r="F205" s="4" t="str">
        <f>(B205+A205)</f>
        <v>-1010</v>
      </c>
      <c r="G205" t="str">
        <f>IF(F205&gt;0, "TRADE","H")</f>
        <v>H</v>
      </c>
      <c r="H205" s="5"/>
      <c r="Z205" s="6"/>
    </row>
    <row r="206" ht="15.75" customHeight="1">
      <c r="A206" t="s">
        <v>5</v>
      </c>
      <c r="B206" t="s">
        <v>6</v>
      </c>
      <c r="C206" s="8">
        <v>46245.0</v>
      </c>
      <c r="H206" s="5"/>
      <c r="Z206" s="6"/>
    </row>
    <row r="207" ht="15.75" customHeight="1">
      <c r="A207" s="4" t="s">
        <v>19</v>
      </c>
      <c r="B207" s="4">
        <v>9880.0</v>
      </c>
      <c r="H207" s="5"/>
      <c r="Z207" s="6"/>
    </row>
    <row r="208" ht="15.75" customHeight="1">
      <c r="A208" s="13">
        <v>105.0</v>
      </c>
      <c r="B208" s="4">
        <v>91.25</v>
      </c>
      <c r="H208" s="5"/>
      <c r="Z208" s="6"/>
    </row>
    <row r="209" ht="15.75" customHeight="1">
      <c r="A209" s="14" t="str">
        <f>$B$194</f>
        <v> $ 92.35 </v>
      </c>
      <c r="B209" s="14" t="str">
        <f>$A$194</f>
        <v> $ 80.65 </v>
      </c>
      <c r="C209">
        <v>200.0</v>
      </c>
      <c r="D209" t="s">
        <v>8</v>
      </c>
      <c r="H209" s="5"/>
      <c r="Z209" s="6"/>
    </row>
    <row r="210" ht="15.75" customHeight="1">
      <c r="A210" s="4" t="str">
        <f>(A209-A208)*C210</f>
        <v>-2530</v>
      </c>
      <c r="B210" s="4" t="str">
        <f>(B208-B209)*C209</f>
        <v>2120</v>
      </c>
      <c r="C210">
        <v>200.0</v>
      </c>
      <c r="D210" t="s">
        <v>9</v>
      </c>
      <c r="E210" s="14" t="str">
        <f>A210</f>
        <v>-$ 2,530.00 </v>
      </c>
      <c r="F210" s="4" t="str">
        <f>(B210+A210)</f>
        <v>-410</v>
      </c>
      <c r="G210" t="str">
        <f>IF(F210&gt;0, "TRADE","H")</f>
        <v>H</v>
      </c>
      <c r="H210" s="5"/>
      <c r="Z210" s="6"/>
    </row>
    <row r="211" ht="15.75" customHeight="1">
      <c r="A211" t="s">
        <v>5</v>
      </c>
      <c r="B211" t="s">
        <v>6</v>
      </c>
      <c r="C211" s="8">
        <v>46281.0</v>
      </c>
      <c r="H211" s="5"/>
      <c r="Z211" s="6"/>
    </row>
    <row r="212" ht="15.75" customHeight="1">
      <c r="A212" s="4" t="s">
        <v>19</v>
      </c>
      <c r="B212" s="4">
        <v>9880.0</v>
      </c>
      <c r="H212" s="5"/>
      <c r="Z212" s="6"/>
    </row>
    <row r="213" ht="15.75" customHeight="1">
      <c r="A213" s="13">
        <v>88.3</v>
      </c>
      <c r="B213" s="4">
        <v>77.7</v>
      </c>
      <c r="H213" s="5"/>
      <c r="Z213" s="6"/>
    </row>
    <row r="214" ht="15.75" customHeight="1">
      <c r="A214" s="14" t="str">
        <f>$B$194</f>
        <v> $ 92.35 </v>
      </c>
      <c r="B214" s="14" t="str">
        <f>$A$194</f>
        <v> $ 80.65 </v>
      </c>
      <c r="C214">
        <v>200.0</v>
      </c>
      <c r="D214" t="s">
        <v>8</v>
      </c>
      <c r="H214" s="5"/>
      <c r="Z214" s="6"/>
    </row>
    <row r="215" ht="15.75" customHeight="1">
      <c r="A215" s="4" t="str">
        <f>(A214-A213)*C215</f>
        <v>810</v>
      </c>
      <c r="B215" s="4" t="str">
        <f>(B213-B214)*C214</f>
        <v>-590</v>
      </c>
      <c r="C215">
        <v>200.0</v>
      </c>
      <c r="D215" t="s">
        <v>9</v>
      </c>
      <c r="E215" s="14" t="str">
        <f>A215</f>
        <v> $ 810.00 </v>
      </c>
      <c r="F215" s="4" t="str">
        <f>(B215+A215)</f>
        <v>220</v>
      </c>
      <c r="G215" t="str">
        <f>IF(F215&gt;0, "TRADE","H")</f>
        <v>TRADE</v>
      </c>
      <c r="H215" s="5"/>
      <c r="Z215" s="6"/>
    </row>
    <row r="216" ht="15.75" customHeight="1">
      <c r="A216" t="s">
        <v>5</v>
      </c>
      <c r="B216" t="s">
        <v>6</v>
      </c>
      <c r="C216" s="8">
        <v>46287.0</v>
      </c>
      <c r="H216" s="5"/>
      <c r="Z216" s="6"/>
    </row>
    <row r="217" ht="15.75" customHeight="1">
      <c r="A217" s="4">
        <v>9880.0</v>
      </c>
      <c r="B217" s="4" t="s">
        <v>19</v>
      </c>
      <c r="H217" s="5"/>
      <c r="Z217" s="6"/>
    </row>
    <row r="218" ht="15.75" customHeight="1">
      <c r="A218" s="13">
        <v>80.65</v>
      </c>
      <c r="B218" s="4">
        <v>91.4</v>
      </c>
      <c r="H218" s="5"/>
      <c r="Z218" s="6"/>
    </row>
    <row r="219" ht="15.75" customHeight="1">
      <c r="A219" s="14" t="str">
        <f>$A$194</f>
        <v> $ 80.65 </v>
      </c>
      <c r="B219" s="14" t="str">
        <f>$B$194</f>
        <v> $ 92.35 </v>
      </c>
      <c r="C219">
        <v>200.0</v>
      </c>
      <c r="D219" t="s">
        <v>8</v>
      </c>
      <c r="H219" s="5"/>
      <c r="Z219" s="6"/>
    </row>
    <row r="220" ht="15.75" customHeight="1">
      <c r="A220" s="4" t="str">
        <f>(A219-A218)*C220</f>
        <v>0</v>
      </c>
      <c r="B220" s="4" t="str">
        <f>(B218-B219)*C219</f>
        <v>-190</v>
      </c>
      <c r="C220">
        <v>200.0</v>
      </c>
      <c r="D220" t="s">
        <v>9</v>
      </c>
      <c r="E220" s="14" t="str">
        <f>A220</f>
        <v> $ -   </v>
      </c>
      <c r="F220" s="4" t="str">
        <f>(B220+A220)</f>
        <v>-190</v>
      </c>
      <c r="G220" t="str">
        <f>IF(F220&gt;0, "TRADE","H")</f>
        <v>H</v>
      </c>
      <c r="H220" s="5"/>
      <c r="Z220" s="6"/>
    </row>
    <row r="221" ht="15.75" customHeight="1">
      <c r="A221" t="s">
        <v>5</v>
      </c>
      <c r="B221" t="s">
        <v>6</v>
      </c>
      <c r="C221" s="8">
        <v>46274.0</v>
      </c>
      <c r="H221" s="5"/>
      <c r="Z221" s="6"/>
    </row>
    <row r="222" ht="15.75" customHeight="1">
      <c r="A222" s="4">
        <v>9880.0</v>
      </c>
      <c r="B222" s="4" t="s">
        <v>19</v>
      </c>
      <c r="H222" s="5"/>
      <c r="Z222" s="6"/>
    </row>
    <row r="223" ht="15.75" customHeight="1">
      <c r="A223" s="13">
        <v>84.3</v>
      </c>
      <c r="B223" s="4">
        <v>92.1</v>
      </c>
      <c r="H223" s="5"/>
      <c r="Z223" s="6"/>
    </row>
    <row r="224" ht="15.75" customHeight="1">
      <c r="A224" s="14" t="str">
        <f>$A$194</f>
        <v> $ 80.65 </v>
      </c>
      <c r="B224" s="14" t="str">
        <f>$B$194</f>
        <v> $ 92.35 </v>
      </c>
      <c r="C224">
        <v>200.0</v>
      </c>
      <c r="D224" t="s">
        <v>8</v>
      </c>
      <c r="H224" s="5"/>
      <c r="Z224" s="6"/>
    </row>
    <row r="225" ht="15.75" customHeight="1">
      <c r="A225" s="4" t="str">
        <f>(A224-A223)*C225</f>
        <v>-730</v>
      </c>
      <c r="B225" s="4" t="str">
        <f>(B223-B224)*C224</f>
        <v>-50</v>
      </c>
      <c r="C225">
        <v>200.0</v>
      </c>
      <c r="D225" t="s">
        <v>9</v>
      </c>
      <c r="E225" s="14" t="str">
        <f>A225</f>
        <v>-$ 730.00 </v>
      </c>
      <c r="F225" s="4" t="str">
        <f>(B225+A225)</f>
        <v>-780</v>
      </c>
      <c r="G225" t="str">
        <f>IF(F225&gt;0, "TRADE","H")</f>
        <v>H</v>
      </c>
      <c r="H225" s="5"/>
      <c r="Z225" s="6"/>
    </row>
    <row r="226" ht="15.75" customHeight="1">
      <c r="A226" t="s">
        <v>5</v>
      </c>
      <c r="B226" t="s">
        <v>6</v>
      </c>
      <c r="C226" s="8">
        <v>46273.0</v>
      </c>
      <c r="H226" s="5"/>
      <c r="Z226" s="6"/>
    </row>
    <row r="227" ht="15.75" customHeight="1">
      <c r="A227" s="4">
        <v>9880.0</v>
      </c>
      <c r="B227" s="4" t="s">
        <v>19</v>
      </c>
      <c r="H227" s="5"/>
      <c r="Z227" s="6"/>
    </row>
    <row r="228" ht="15.75" customHeight="1">
      <c r="A228" s="13">
        <v>84.85</v>
      </c>
      <c r="B228" s="4">
        <v>90.0</v>
      </c>
      <c r="H228" s="5"/>
      <c r="Z228" s="6"/>
    </row>
    <row r="229" ht="15.75" customHeight="1">
      <c r="A229" s="14" t="str">
        <f>$A$194</f>
        <v> $ 80.65 </v>
      </c>
      <c r="B229" s="14" t="str">
        <f>$B$194</f>
        <v> $ 92.35 </v>
      </c>
      <c r="C229">
        <v>200.0</v>
      </c>
      <c r="D229" t="s">
        <v>8</v>
      </c>
      <c r="H229" s="5"/>
      <c r="Z229" s="6"/>
    </row>
    <row r="230" ht="15.75" customHeight="1">
      <c r="A230" s="4" t="str">
        <f>(A229-A228)*C230</f>
        <v>-840</v>
      </c>
      <c r="B230" s="4" t="str">
        <f>(B228-B229)*C229</f>
        <v>-470</v>
      </c>
      <c r="C230">
        <v>200.0</v>
      </c>
      <c r="D230" t="s">
        <v>9</v>
      </c>
      <c r="E230" s="14" t="str">
        <f>A230</f>
        <v>-$ 840.00 </v>
      </c>
      <c r="F230" s="4" t="str">
        <f>(B230+A230)</f>
        <v>-1310</v>
      </c>
      <c r="G230" t="str">
        <f>IF(F230&gt;0, "TRADE","H")</f>
        <v>H</v>
      </c>
      <c r="H230" s="5"/>
      <c r="Z230" s="6"/>
    </row>
    <row r="231" ht="15.75" customHeight="1">
      <c r="A231" t="s">
        <v>5</v>
      </c>
      <c r="B231" t="s">
        <v>6</v>
      </c>
      <c r="C231" s="8">
        <v>45713.0</v>
      </c>
      <c r="H231" s="5" t="str">
        <f t="shared" ref="H231:H232" si="12">(I231-K231)/K231-$D$3</f>
        <v>-48.75%</v>
      </c>
      <c r="I231" s="9">
        <v>0.83</v>
      </c>
      <c r="J231" s="10">
        <v>2587.0</v>
      </c>
      <c r="K231">
        <v>1.72</v>
      </c>
      <c r="O231" s="6"/>
    </row>
    <row r="232" ht="15.75" customHeight="1">
      <c r="A232" s="4">
        <v>2522.0</v>
      </c>
      <c r="B232" s="4"/>
      <c r="H232" s="5" t="str">
        <f t="shared" si="12"/>
        <v>9.08%</v>
      </c>
      <c r="I232" s="9">
        <v>5.58</v>
      </c>
      <c r="J232" s="12">
        <v>2522.0</v>
      </c>
      <c r="K232">
        <v>5.26</v>
      </c>
      <c r="M232" s="6"/>
    </row>
    <row r="233" ht="15.75" customHeight="1">
      <c r="A233" s="13">
        <v>43.0</v>
      </c>
      <c r="B233" s="4"/>
      <c r="H233" s="5" t="str">
        <f>H231-H232</f>
        <v>-57.83%</v>
      </c>
      <c r="Q233" s="6"/>
    </row>
    <row r="234" ht="15.75" customHeight="1">
      <c r="A234" s="15" t="str">
        <f>I232</f>
        <v> $ 5.58 </v>
      </c>
      <c r="B234" s="15"/>
      <c r="C234" s="17"/>
      <c r="H234" s="5"/>
      <c r="Y234" s="6"/>
    </row>
    <row r="235" ht="15.75" customHeight="1">
      <c r="A235" s="4" t="str">
        <f>(A234-A233)*C235</f>
        <v>-18710</v>
      </c>
      <c r="B235" s="14"/>
      <c r="C235" s="17">
        <v>500.0</v>
      </c>
      <c r="E235" s="14" t="str">
        <f>A235</f>
        <v>-$ 18,710.00 </v>
      </c>
      <c r="F235" s="14" t="str">
        <f>(B235+A235)</f>
        <v>-$ 18,710.00 </v>
      </c>
      <c r="G235" t="str">
        <f>IF(F235&gt;0, "TRADE","H")</f>
        <v>H</v>
      </c>
      <c r="H235" s="5"/>
      <c r="Y235" s="6"/>
    </row>
    <row r="236" ht="15.75" customHeight="1">
      <c r="A236" t="s">
        <v>5</v>
      </c>
      <c r="B236" t="s">
        <v>6</v>
      </c>
      <c r="C236" s="8">
        <v>45996.0</v>
      </c>
      <c r="K236" s="6"/>
    </row>
    <row r="237" ht="15.75" customHeight="1">
      <c r="A237" s="4">
        <v>2522.0</v>
      </c>
      <c r="B237" s="4">
        <v>2587.0</v>
      </c>
      <c r="I237" s="6"/>
    </row>
    <row r="238" ht="15.75" customHeight="1">
      <c r="A238" s="13">
        <v>10.65</v>
      </c>
      <c r="B238" s="4">
        <v>4.93</v>
      </c>
      <c r="M238" s="6"/>
    </row>
    <row r="239" ht="15.75" customHeight="1">
      <c r="A239" s="14" t="str">
        <f>$A$284</f>
        <v> $ 5.58 </v>
      </c>
      <c r="B239" s="14" t="str">
        <f>$B$284</f>
        <v> $ 0.83 </v>
      </c>
      <c r="C239" s="17">
        <v>500.0</v>
      </c>
      <c r="H239" s="5"/>
      <c r="Y239" s="6"/>
    </row>
    <row r="240" ht="15.75" customHeight="1">
      <c r="A240" s="4" t="str">
        <f>(A239-A238)*C240</f>
        <v>-2535</v>
      </c>
      <c r="B240" s="14" t="str">
        <f>C239*(B238-B239)</f>
        <v> $ 2,050.00 </v>
      </c>
      <c r="C240" s="17">
        <v>500.0</v>
      </c>
      <c r="E240" s="14" t="str">
        <f>A240</f>
        <v>-$ 2,535.00 </v>
      </c>
      <c r="F240" s="14" t="str">
        <f>(B240+A240)</f>
        <v>-$ 485.00 </v>
      </c>
      <c r="G240" t="str">
        <f>IF(F240&gt;0, "TRADE","H")</f>
        <v>H</v>
      </c>
      <c r="H240" s="5"/>
      <c r="Y240" s="6"/>
    </row>
    <row r="241" ht="15.75" customHeight="1">
      <c r="A241" t="s">
        <v>5</v>
      </c>
      <c r="B241" t="s">
        <v>6</v>
      </c>
      <c r="C241" s="8">
        <v>46286.0</v>
      </c>
      <c r="K241" s="6"/>
    </row>
    <row r="242" ht="15.75" customHeight="1">
      <c r="A242" s="4">
        <v>2587.0</v>
      </c>
      <c r="B242" s="4">
        <v>2522.0</v>
      </c>
      <c r="I242" s="6"/>
    </row>
    <row r="243" ht="15.75" customHeight="1">
      <c r="A243" s="13">
        <v>0.83</v>
      </c>
      <c r="B243" s="4">
        <v>5.58</v>
      </c>
      <c r="M243" s="6"/>
    </row>
    <row r="244" ht="15.75" customHeight="1">
      <c r="A244" s="14" t="str">
        <f>$B$284</f>
        <v> $ 0.83 </v>
      </c>
      <c r="B244" s="14" t="str">
        <f>$A$284</f>
        <v> $ 5.58 </v>
      </c>
      <c r="C244" s="17">
        <v>500.0</v>
      </c>
      <c r="H244" s="5"/>
      <c r="Y244" s="6"/>
    </row>
    <row r="245" ht="15.75" customHeight="1">
      <c r="A245" s="4" t="str">
        <f>(A244-A243)*C245</f>
        <v>0</v>
      </c>
      <c r="B245" s="14" t="str">
        <f>C244*(B243-B244)</f>
        <v> $ -   </v>
      </c>
      <c r="C245" s="17">
        <v>500.0</v>
      </c>
      <c r="E245" s="14" t="str">
        <f>A245</f>
        <v> $ -   </v>
      </c>
      <c r="F245" s="14" t="str">
        <f>(B245+A245)</f>
        <v> $ -   </v>
      </c>
      <c r="G245" t="str">
        <f>IF(F245&gt;0, "TRADE","H")</f>
        <v>H</v>
      </c>
      <c r="H245" s="5"/>
      <c r="Y245" s="6"/>
    </row>
    <row r="246" ht="15.75" customHeight="1">
      <c r="A246" t="s">
        <v>5</v>
      </c>
      <c r="B246" t="s">
        <v>6</v>
      </c>
      <c r="C246" s="8">
        <v>46282.0</v>
      </c>
      <c r="K246" s="6"/>
    </row>
    <row r="247" ht="15.75" customHeight="1">
      <c r="A247" s="4">
        <v>2587.0</v>
      </c>
      <c r="B247" s="4">
        <v>2522.0</v>
      </c>
      <c r="I247" s="6"/>
    </row>
    <row r="248" ht="15.75" customHeight="1">
      <c r="A248" s="13">
        <v>0.855</v>
      </c>
      <c r="B248" s="4">
        <v>5.16</v>
      </c>
      <c r="M248" s="6"/>
    </row>
    <row r="249" ht="15.75" customHeight="1">
      <c r="A249" s="14" t="str">
        <f>$B$284</f>
        <v> $ 0.83 </v>
      </c>
      <c r="B249" s="14" t="str">
        <f>$A$284</f>
        <v> $ 5.58 </v>
      </c>
      <c r="C249" s="17">
        <v>500.0</v>
      </c>
      <c r="H249" s="5"/>
      <c r="Y249" s="6"/>
    </row>
    <row r="250" ht="15.75" customHeight="1">
      <c r="A250" s="4" t="str">
        <f>(A249-A248)*C250</f>
        <v>-12.5</v>
      </c>
      <c r="B250" s="14" t="str">
        <f>C249*(B248-B249)</f>
        <v>-$ 210.00 </v>
      </c>
      <c r="C250" s="17">
        <v>500.0</v>
      </c>
      <c r="E250" s="14" t="str">
        <f>A250</f>
        <v>-$ 12.50 </v>
      </c>
      <c r="F250" s="14" t="str">
        <f>(B250+A250)</f>
        <v>-$ 222.50 </v>
      </c>
      <c r="G250" t="str">
        <f>IF(F250&gt;0, "TRADE","H")</f>
        <v>H</v>
      </c>
      <c r="H250" s="5"/>
      <c r="Y250" s="6"/>
    </row>
    <row r="251" ht="15.75" customHeight="1">
      <c r="A251" t="s">
        <v>5</v>
      </c>
      <c r="B251" t="s">
        <v>6</v>
      </c>
      <c r="C251" s="8">
        <v>46274.0</v>
      </c>
      <c r="K251" s="6"/>
    </row>
    <row r="252" ht="15.75" customHeight="1">
      <c r="A252" s="4">
        <v>2587.0</v>
      </c>
      <c r="B252" s="4">
        <v>2522.0</v>
      </c>
      <c r="I252" s="6"/>
    </row>
    <row r="253" ht="15.75" customHeight="1">
      <c r="A253" s="13">
        <v>1.04</v>
      </c>
      <c r="B253" s="4">
        <v>5.205</v>
      </c>
      <c r="M253" s="6"/>
    </row>
    <row r="254" ht="15.75" customHeight="1">
      <c r="A254" s="14" t="str">
        <f>$B$284</f>
        <v> $ 0.83 </v>
      </c>
      <c r="B254" s="14" t="str">
        <f>$A$284</f>
        <v> $ 5.58 </v>
      </c>
      <c r="C254" s="17">
        <v>500.0</v>
      </c>
      <c r="H254" s="5"/>
      <c r="Y254" s="6"/>
    </row>
    <row r="255" ht="15.75" customHeight="1">
      <c r="A255" s="4" t="str">
        <f>(A254-A253)*C255</f>
        <v>-105</v>
      </c>
      <c r="B255" s="14" t="str">
        <f>C254*(B253-B254)</f>
        <v>-$ 187.50 </v>
      </c>
      <c r="C255" s="17">
        <v>500.0</v>
      </c>
      <c r="E255" s="14" t="str">
        <f>A255</f>
        <v>-$ 105.00 </v>
      </c>
      <c r="F255" s="14" t="str">
        <f>(B255+A255)</f>
        <v>-$ 292.50 </v>
      </c>
      <c r="G255" t="str">
        <f>IF(F255&gt;0, "TRADE","H")</f>
        <v>H</v>
      </c>
      <c r="H255" s="5"/>
      <c r="Y255" s="6"/>
    </row>
    <row r="256" ht="15.75" customHeight="1">
      <c r="A256" t="s">
        <v>5</v>
      </c>
      <c r="B256" t="s">
        <v>6</v>
      </c>
      <c r="C256" s="8">
        <v>46274.0</v>
      </c>
      <c r="K256" s="6"/>
    </row>
    <row r="257" ht="15.75" customHeight="1">
      <c r="A257" s="4">
        <v>2587.0</v>
      </c>
      <c r="B257" s="4">
        <v>2522.0</v>
      </c>
      <c r="I257" s="6"/>
    </row>
    <row r="258" ht="15.75" customHeight="1">
      <c r="A258" s="13">
        <v>1.065</v>
      </c>
      <c r="B258" s="4">
        <v>5.015</v>
      </c>
      <c r="M258" s="6"/>
    </row>
    <row r="259" ht="15.75" customHeight="1">
      <c r="A259" s="14" t="str">
        <f>$B$284</f>
        <v> $ 0.83 </v>
      </c>
      <c r="B259" s="14" t="str">
        <f>$A$284</f>
        <v> $ 5.58 </v>
      </c>
      <c r="C259" s="17">
        <v>500.0</v>
      </c>
      <c r="H259" s="5"/>
      <c r="Y259" s="6"/>
    </row>
    <row r="260" ht="15.75" customHeight="1">
      <c r="A260" s="4" t="str">
        <f>(A259-A258)*C260</f>
        <v>-117.5</v>
      </c>
      <c r="B260" s="14" t="str">
        <f>C259*(B258-B259)</f>
        <v>-$ 282.50 </v>
      </c>
      <c r="C260" s="17">
        <v>500.0</v>
      </c>
      <c r="E260" s="14" t="str">
        <f>A260</f>
        <v>-$ 117.50 </v>
      </c>
      <c r="F260" s="14" t="str">
        <f>(B260+A260)</f>
        <v>-$ 400.00 </v>
      </c>
      <c r="G260" t="str">
        <f>IF(F260&gt;0, "TRADE","H")</f>
        <v>H</v>
      </c>
      <c r="H260" s="5"/>
      <c r="Y260" s="6"/>
    </row>
    <row r="261" ht="15.75" customHeight="1">
      <c r="A261" t="s">
        <v>5</v>
      </c>
      <c r="B261" t="s">
        <v>6</v>
      </c>
      <c r="C261" s="8">
        <v>46261.0</v>
      </c>
      <c r="K261" s="6"/>
    </row>
    <row r="262" ht="15.75" customHeight="1">
      <c r="A262" s="4">
        <v>2587.0</v>
      </c>
      <c r="B262" s="4">
        <v>2522.0</v>
      </c>
      <c r="I262" s="6"/>
    </row>
    <row r="263" ht="15.75" customHeight="1">
      <c r="A263" s="13">
        <v>1.65</v>
      </c>
      <c r="B263" s="4">
        <v>5.185</v>
      </c>
      <c r="M263" s="6"/>
    </row>
    <row r="264" ht="15.75" customHeight="1">
      <c r="A264" s="14" t="str">
        <f>$B$284</f>
        <v> $ 0.83 </v>
      </c>
      <c r="B264" s="14" t="str">
        <f>$A$284</f>
        <v> $ 5.58 </v>
      </c>
      <c r="C264" s="17">
        <v>500.0</v>
      </c>
      <c r="H264" s="5"/>
      <c r="Y264" s="6"/>
    </row>
    <row r="265" ht="15.75" customHeight="1">
      <c r="A265" s="4" t="str">
        <f>(A264-A263)*C265</f>
        <v>-410</v>
      </c>
      <c r="B265" s="14" t="str">
        <f>C264*(B263-B264)</f>
        <v>-$ 197.50 </v>
      </c>
      <c r="C265" s="17">
        <v>500.0</v>
      </c>
      <c r="E265" s="14" t="str">
        <f>A265</f>
        <v>-$ 410.00 </v>
      </c>
      <c r="F265" s="14" t="str">
        <f>(B265+A265)</f>
        <v>-$ 607.50 </v>
      </c>
      <c r="G265" t="str">
        <f>IF(F265&gt;0, "TRADE","H")</f>
        <v>H</v>
      </c>
      <c r="H265" s="5"/>
      <c r="Y265" s="6"/>
    </row>
    <row r="266" ht="15.75" customHeight="1">
      <c r="A266" t="s">
        <v>5</v>
      </c>
      <c r="B266" t="s">
        <v>6</v>
      </c>
      <c r="C266" s="8">
        <v>46256.0</v>
      </c>
      <c r="K266" s="6"/>
    </row>
    <row r="267" ht="15.75" customHeight="1">
      <c r="A267" s="4">
        <v>2587.0</v>
      </c>
      <c r="B267" s="4">
        <v>2522.0</v>
      </c>
      <c r="I267" s="6"/>
    </row>
    <row r="268" ht="15.75" customHeight="1">
      <c r="A268" s="13">
        <v>1.845</v>
      </c>
      <c r="B268" s="4">
        <v>4.565</v>
      </c>
      <c r="M268" s="6"/>
    </row>
    <row r="269" ht="15.75" customHeight="1">
      <c r="A269" s="14" t="str">
        <f>$B$284</f>
        <v> $ 0.83 </v>
      </c>
      <c r="B269" s="14" t="str">
        <f>$A$284</f>
        <v> $ 5.58 </v>
      </c>
      <c r="C269" s="17">
        <v>500.0</v>
      </c>
      <c r="H269" s="5"/>
      <c r="Y269" s="6"/>
    </row>
    <row r="270" ht="15.75" customHeight="1">
      <c r="A270" s="4" t="str">
        <f>(A269-A268)*C270</f>
        <v>-507.5</v>
      </c>
      <c r="B270" s="14" t="str">
        <f>C269*(B268-B269)</f>
        <v>-$ 507.50 </v>
      </c>
      <c r="C270" s="17">
        <v>500.0</v>
      </c>
      <c r="E270" s="14" t="str">
        <f>A270</f>
        <v>-$ 507.50 </v>
      </c>
      <c r="F270" s="14" t="str">
        <f>(B270+A270)</f>
        <v>-$ 1,015.00 </v>
      </c>
      <c r="G270" t="str">
        <f>IF(F270&gt;0, "TRADE","H")</f>
        <v>H</v>
      </c>
      <c r="H270" s="5"/>
      <c r="Y270" s="6"/>
    </row>
    <row r="271" ht="15.75" customHeight="1">
      <c r="A271" t="s">
        <v>5</v>
      </c>
      <c r="B271" t="s">
        <v>6</v>
      </c>
      <c r="C271" s="8">
        <v>46127.0</v>
      </c>
      <c r="K271" s="6"/>
    </row>
    <row r="272" ht="15.75" customHeight="1">
      <c r="A272" s="4">
        <v>2587.0</v>
      </c>
      <c r="B272" s="4">
        <v>2522.0</v>
      </c>
      <c r="I272" s="6"/>
    </row>
    <row r="273" ht="15.75" customHeight="1">
      <c r="A273" s="13">
        <v>4.82</v>
      </c>
      <c r="B273" s="4">
        <v>6.57</v>
      </c>
      <c r="M273" s="6"/>
    </row>
    <row r="274" ht="15.75" customHeight="1">
      <c r="A274" s="14" t="str">
        <f>$B$284</f>
        <v> $ 0.83 </v>
      </c>
      <c r="B274" s="14" t="str">
        <f>$A$284</f>
        <v> $ 5.58 </v>
      </c>
      <c r="C274" s="17">
        <v>500.0</v>
      </c>
      <c r="H274" s="5"/>
      <c r="Y274" s="6"/>
    </row>
    <row r="275" ht="15.75" customHeight="1">
      <c r="A275" s="4" t="str">
        <f>(A274-A273)*C275</f>
        <v>-1995</v>
      </c>
      <c r="B275" s="14" t="str">
        <f>C274*(B273-B274)</f>
        <v> $ 495.00 </v>
      </c>
      <c r="C275" s="17">
        <v>500.0</v>
      </c>
      <c r="E275" s="14" t="str">
        <f>A275</f>
        <v>-$ 1,995.00 </v>
      </c>
      <c r="F275" s="14" t="str">
        <f>(B275+A275)</f>
        <v>-$ 1,500.00 </v>
      </c>
      <c r="G275" t="str">
        <f>IF(F275&gt;0, "TRADE","H")</f>
        <v>H</v>
      </c>
      <c r="H275" s="5"/>
      <c r="Y275" s="6"/>
    </row>
    <row r="276" ht="15.75" customHeight="1">
      <c r="A276" t="s">
        <v>5</v>
      </c>
      <c r="B276" t="s">
        <v>6</v>
      </c>
      <c r="C276" s="8">
        <v>45996.0</v>
      </c>
      <c r="K276" s="6"/>
    </row>
    <row r="277" ht="15.75" customHeight="1">
      <c r="A277" s="4">
        <v>2522.0</v>
      </c>
      <c r="B277" s="4">
        <v>2587.0</v>
      </c>
      <c r="I277" s="6"/>
    </row>
    <row r="278" ht="15.75" customHeight="1">
      <c r="A278" s="13">
        <v>11.73</v>
      </c>
      <c r="B278" s="4">
        <v>4.48</v>
      </c>
      <c r="M278" s="6"/>
    </row>
    <row r="279" ht="15.75" customHeight="1">
      <c r="A279" s="14" t="str">
        <f>$A$284</f>
        <v> $ 5.58 </v>
      </c>
      <c r="B279" s="14" t="str">
        <f>$B$284</f>
        <v> $ 0.83 </v>
      </c>
      <c r="C279" s="17">
        <v>500.0</v>
      </c>
      <c r="H279" s="5"/>
      <c r="Y279" s="6"/>
    </row>
    <row r="280" ht="15.75" customHeight="1">
      <c r="A280" s="4" t="str">
        <f>(A279-A278)*C280</f>
        <v>-3075</v>
      </c>
      <c r="B280" s="14" t="str">
        <f>C279*(B278-B279)</f>
        <v> $ 1,825.00 </v>
      </c>
      <c r="C280" s="17">
        <v>500.0</v>
      </c>
      <c r="E280" s="14" t="str">
        <f>A280</f>
        <v>-$ 3,075.00 </v>
      </c>
      <c r="F280" s="14" t="str">
        <f>(B280+A280)</f>
        <v>-$ 1,250.00 </v>
      </c>
      <c r="G280" t="str">
        <f>IF(F280&gt;0, "TRADE","H")</f>
        <v>H</v>
      </c>
      <c r="H280" s="5"/>
      <c r="Y280" s="6"/>
    </row>
    <row r="281" ht="15.75" customHeight="1">
      <c r="A281" t="s">
        <v>5</v>
      </c>
      <c r="B281" t="s">
        <v>6</v>
      </c>
      <c r="C281" s="8">
        <v>45723.0</v>
      </c>
      <c r="K281" s="6"/>
    </row>
    <row r="282" ht="15.75" customHeight="1">
      <c r="A282" s="4">
        <v>2522.0</v>
      </c>
      <c r="B282" s="4">
        <v>2587.0</v>
      </c>
      <c r="I282" s="6"/>
    </row>
    <row r="283" ht="15.75" customHeight="1">
      <c r="A283" s="13">
        <v>37.35</v>
      </c>
      <c r="B283" s="4">
        <v>20.6</v>
      </c>
      <c r="M283" s="6"/>
    </row>
    <row r="284" ht="15.75" customHeight="1">
      <c r="A284" s="15" t="str">
        <f>I232</f>
        <v> $ 5.58 </v>
      </c>
      <c r="B284" s="15" t="str">
        <f>I231</f>
        <v> $ 0.83 </v>
      </c>
      <c r="C284" s="17">
        <v>500.0</v>
      </c>
      <c r="H284" s="5"/>
      <c r="Y284" s="6"/>
    </row>
    <row r="285" ht="15.75" customHeight="1">
      <c r="A285" s="4" t="str">
        <f>(A284-A283)*C285</f>
        <v>-31770</v>
      </c>
      <c r="B285" s="14" t="str">
        <f>C284*(B283-B284)</f>
        <v> $ 9,885.00 </v>
      </c>
      <c r="C285" s="17">
        <v>1000.0</v>
      </c>
      <c r="E285" s="14" t="str">
        <f>A285</f>
        <v>-$ 31,770.00 </v>
      </c>
      <c r="F285" s="14" t="str">
        <f>(B285+A285)</f>
        <v>-$ 21,885.00 </v>
      </c>
      <c r="G285" t="str">
        <f>IF(F285&gt;0, "TRADE","H")</f>
        <v>H</v>
      </c>
      <c r="H285" s="5"/>
      <c r="Y285" s="6"/>
    </row>
  </sheetData>
  <conditionalFormatting sqref="H171:H172 H176:H177">
    <cfRule type="expression" dxfId="0" priority="1">
      <formula>H171&lt;($D$3-6%)</formula>
    </cfRule>
  </conditionalFormatting>
  <conditionalFormatting sqref="H171:H172 H176:H177">
    <cfRule type="expression" dxfId="1" priority="2">
      <formula>H171&gt;($D$3+6%)</formula>
    </cfRule>
  </conditionalFormatting>
  <conditionalFormatting sqref="H171:H172 H176:H177">
    <cfRule type="expression" dxfId="2" priority="3">
      <formula>H171&lt;($D$3-3%)</formula>
    </cfRule>
  </conditionalFormatting>
  <conditionalFormatting sqref="H171:H172 H176:H177">
    <cfRule type="expression" dxfId="3" priority="4">
      <formula>H171&gt;($D$3+3%)</formula>
    </cfRule>
  </conditionalFormatting>
  <conditionalFormatting sqref="E155">
    <cfRule type="cellIs" dxfId="4" priority="5" operator="greaterThan">
      <formula>0</formula>
    </cfRule>
  </conditionalFormatting>
  <conditionalFormatting sqref="F175">
    <cfRule type="cellIs" dxfId="5" priority="6" operator="lessThan">
      <formula>-4100</formula>
    </cfRule>
  </conditionalFormatting>
  <conditionalFormatting sqref="F175">
    <cfRule type="cellIs" dxfId="6" priority="7" operator="greaterThanOrEqual">
      <formula>0</formula>
    </cfRule>
  </conditionalFormatting>
  <conditionalFormatting sqref="E175">
    <cfRule type="cellIs" dxfId="4" priority="8" operator="greaterThan">
      <formula>0</formula>
    </cfRule>
  </conditionalFormatting>
  <conditionalFormatting sqref="F175">
    <cfRule type="cellIs" dxfId="6" priority="9" operator="greaterThanOrEqual">
      <formula>0</formula>
    </cfRule>
  </conditionalFormatting>
  <conditionalFormatting sqref="F175">
    <cfRule type="cellIs" dxfId="5" priority="10" operator="lessThan">
      <formula>-4100</formula>
    </cfRule>
  </conditionalFormatting>
  <conditionalFormatting sqref="F175">
    <cfRule type="cellIs" dxfId="6" priority="11" operator="greaterThanOrEqual">
      <formula>0</formula>
    </cfRule>
  </conditionalFormatting>
  <conditionalFormatting sqref="F175">
    <cfRule type="cellIs" dxfId="5" priority="12" operator="lessThan">
      <formula>-4100</formula>
    </cfRule>
  </conditionalFormatting>
  <conditionalFormatting sqref="F175">
    <cfRule type="cellIs" dxfId="5" priority="13" operator="lessThan">
      <formula>-4100</formula>
    </cfRule>
  </conditionalFormatting>
  <conditionalFormatting sqref="F175">
    <cfRule type="cellIs" dxfId="6" priority="14" operator="greaterThanOrEqual">
      <formula>0</formula>
    </cfRule>
  </conditionalFormatting>
  <conditionalFormatting sqref="F175">
    <cfRule type="cellIs" dxfId="6" priority="15" operator="greaterThanOrEqual">
      <formula>0</formula>
    </cfRule>
  </conditionalFormatting>
  <conditionalFormatting sqref="F175">
    <cfRule type="cellIs" dxfId="5" priority="16" operator="lessThan">
      <formula>-4100</formula>
    </cfRule>
  </conditionalFormatting>
  <conditionalFormatting sqref="F175">
    <cfRule type="cellIs" dxfId="6" priority="17" operator="greaterThanOrEqual">
      <formula>0</formula>
    </cfRule>
  </conditionalFormatting>
  <conditionalFormatting sqref="F175">
    <cfRule type="cellIs" dxfId="5" priority="18" operator="lessThan">
      <formula>-4100</formula>
    </cfRule>
  </conditionalFormatting>
  <conditionalFormatting sqref="F175">
    <cfRule type="cellIs" dxfId="6" priority="19" operator="greaterThanOrEqual">
      <formula>0</formula>
    </cfRule>
  </conditionalFormatting>
  <conditionalFormatting sqref="F175">
    <cfRule type="cellIs" dxfId="5" priority="20" operator="lessThan">
      <formula>-4100</formula>
    </cfRule>
  </conditionalFormatting>
  <conditionalFormatting sqref="F175">
    <cfRule type="cellIs" dxfId="5" priority="21" operator="lessThan">
      <formula>-4100</formula>
    </cfRule>
  </conditionalFormatting>
  <conditionalFormatting sqref="F175">
    <cfRule type="cellIs" dxfId="6" priority="22" operator="greaterThanOrEqual">
      <formula>0</formula>
    </cfRule>
  </conditionalFormatting>
  <conditionalFormatting sqref="H155">
    <cfRule type="expression" dxfId="0" priority="23">
      <formula>H155&lt;($D$3-6%)</formula>
    </cfRule>
  </conditionalFormatting>
  <conditionalFormatting sqref="H155">
    <cfRule type="expression" dxfId="1" priority="24">
      <formula>H155&gt;($D$3+6%)</formula>
    </cfRule>
  </conditionalFormatting>
  <conditionalFormatting sqref="H155">
    <cfRule type="expression" dxfId="2" priority="25">
      <formula>H155&lt;($D$3-3%)</formula>
    </cfRule>
  </conditionalFormatting>
  <conditionalFormatting sqref="H155">
    <cfRule type="expression" dxfId="3" priority="26">
      <formula>H155&gt;($D$3+3%)</formula>
    </cfRule>
  </conditionalFormatting>
  <conditionalFormatting sqref="H156">
    <cfRule type="expression" dxfId="0" priority="27">
      <formula>H156&lt;($D$3-6%)</formula>
    </cfRule>
  </conditionalFormatting>
  <conditionalFormatting sqref="H156">
    <cfRule type="expression" dxfId="1" priority="28">
      <formula>H156&gt;($D$3+6%)</formula>
    </cfRule>
  </conditionalFormatting>
  <conditionalFormatting sqref="H156">
    <cfRule type="expression" dxfId="2" priority="29">
      <formula>H156&lt;($D$3-3%)</formula>
    </cfRule>
  </conditionalFormatting>
  <conditionalFormatting sqref="H156">
    <cfRule type="expression" dxfId="3" priority="30">
      <formula>H156&gt;($D$3+3%)</formula>
    </cfRule>
  </conditionalFormatting>
  <conditionalFormatting sqref="F160">
    <cfRule type="cellIs" dxfId="5" priority="31" operator="lessThan">
      <formula>-4100</formula>
    </cfRule>
  </conditionalFormatting>
  <conditionalFormatting sqref="F160">
    <cfRule type="cellIs" dxfId="6" priority="32" operator="greaterThanOrEqual">
      <formula>0</formula>
    </cfRule>
  </conditionalFormatting>
  <conditionalFormatting sqref="F160">
    <cfRule type="cellIs" dxfId="6" priority="33" operator="greaterThanOrEqual">
      <formula>0</formula>
    </cfRule>
  </conditionalFormatting>
  <conditionalFormatting sqref="F160">
    <cfRule type="cellIs" dxfId="5" priority="34" operator="lessThan">
      <formula>-4100</formula>
    </cfRule>
  </conditionalFormatting>
  <conditionalFormatting sqref="F160">
    <cfRule type="cellIs" dxfId="6" priority="35" operator="greaterThanOrEqual">
      <formula>0</formula>
    </cfRule>
  </conditionalFormatting>
  <conditionalFormatting sqref="F160">
    <cfRule type="cellIs" dxfId="5" priority="36" operator="lessThan">
      <formula>-4100</formula>
    </cfRule>
  </conditionalFormatting>
  <conditionalFormatting sqref="F160">
    <cfRule type="cellIs" dxfId="6" priority="37" operator="greaterThanOrEqual">
      <formula>0</formula>
    </cfRule>
  </conditionalFormatting>
  <conditionalFormatting sqref="F160">
    <cfRule type="cellIs" dxfId="5" priority="38" operator="lessThan">
      <formula>-4100</formula>
    </cfRule>
  </conditionalFormatting>
  <conditionalFormatting sqref="F160">
    <cfRule type="cellIs" dxfId="6" priority="39" operator="greaterThanOrEqual">
      <formula>0</formula>
    </cfRule>
  </conditionalFormatting>
  <conditionalFormatting sqref="F160">
    <cfRule type="cellIs" dxfId="5" priority="40" operator="lessThan">
      <formula>-4100</formula>
    </cfRule>
  </conditionalFormatting>
  <conditionalFormatting sqref="F160">
    <cfRule type="cellIs" dxfId="5" priority="41" operator="lessThan">
      <formula>-4100</formula>
    </cfRule>
  </conditionalFormatting>
  <conditionalFormatting sqref="F160">
    <cfRule type="cellIs" dxfId="6" priority="42" operator="greaterThanOrEqual">
      <formula>0</formula>
    </cfRule>
  </conditionalFormatting>
  <conditionalFormatting sqref="F160">
    <cfRule type="cellIs" dxfId="6" priority="43" operator="greaterThanOrEqual">
      <formula>0</formula>
    </cfRule>
  </conditionalFormatting>
  <conditionalFormatting sqref="F160">
    <cfRule type="cellIs" dxfId="5" priority="44" operator="lessThan">
      <formula>-4100</formula>
    </cfRule>
  </conditionalFormatting>
  <conditionalFormatting sqref="F160">
    <cfRule type="cellIs" dxfId="6" priority="45" operator="greaterThanOrEqual">
      <formula>0</formula>
    </cfRule>
  </conditionalFormatting>
  <conditionalFormatting sqref="F160">
    <cfRule type="cellIs" dxfId="5" priority="46" operator="lessThan">
      <formula>-4100</formula>
    </cfRule>
  </conditionalFormatting>
  <conditionalFormatting sqref="E160">
    <cfRule type="cellIs" dxfId="4" priority="47" operator="greaterThan">
      <formula>0</formula>
    </cfRule>
  </conditionalFormatting>
  <conditionalFormatting sqref="H191:H192">
    <cfRule type="expression" dxfId="0" priority="48">
      <formula>H191&lt;($D$3-6%)</formula>
    </cfRule>
  </conditionalFormatting>
  <conditionalFormatting sqref="H191:H192">
    <cfRule type="expression" dxfId="1" priority="49">
      <formula>H191&gt;($D$3+6%)</formula>
    </cfRule>
  </conditionalFormatting>
  <conditionalFormatting sqref="H191:H192">
    <cfRule type="expression" dxfId="2" priority="50">
      <formula>H191&lt;($D$3-3%)</formula>
    </cfRule>
  </conditionalFormatting>
  <conditionalFormatting sqref="H191:H192">
    <cfRule type="expression" dxfId="3" priority="51">
      <formula>H191&gt;($D$3+3%)</formula>
    </cfRule>
  </conditionalFormatting>
  <conditionalFormatting sqref="H232">
    <cfRule type="expression" dxfId="0" priority="52">
      <formula>H232&lt;($D$3-6%)</formula>
    </cfRule>
  </conditionalFormatting>
  <conditionalFormatting sqref="H232">
    <cfRule type="expression" dxfId="1" priority="53">
      <formula>H232&gt;($D$3+6%)</formula>
    </cfRule>
  </conditionalFormatting>
  <conditionalFormatting sqref="H232">
    <cfRule type="expression" dxfId="2" priority="54">
      <formula>H232&lt;($D$3-3%)</formula>
    </cfRule>
  </conditionalFormatting>
  <conditionalFormatting sqref="H232">
    <cfRule type="expression" dxfId="3" priority="55">
      <formula>H232&gt;($D$3+3%)</formula>
    </cfRule>
  </conditionalFormatting>
  <conditionalFormatting sqref="F235">
    <cfRule type="cellIs" dxfId="6" priority="56" operator="greaterThanOrEqual">
      <formula>0</formula>
    </cfRule>
  </conditionalFormatting>
  <conditionalFormatting sqref="F235">
    <cfRule type="cellIs" dxfId="5" priority="57" operator="lessThan">
      <formula>-4100</formula>
    </cfRule>
  </conditionalFormatting>
  <conditionalFormatting sqref="F235">
    <cfRule type="cellIs" dxfId="6" priority="58" operator="greaterThanOrEqual">
      <formula>0</formula>
    </cfRule>
  </conditionalFormatting>
  <conditionalFormatting sqref="F235">
    <cfRule type="cellIs" dxfId="5" priority="59" operator="lessThan">
      <formula>-4100</formula>
    </cfRule>
  </conditionalFormatting>
  <conditionalFormatting sqref="F235">
    <cfRule type="cellIs" dxfId="6" priority="60" operator="greaterThanOrEqual">
      <formula>0</formula>
    </cfRule>
  </conditionalFormatting>
  <conditionalFormatting sqref="F235">
    <cfRule type="cellIs" dxfId="5" priority="61" operator="lessThan">
      <formula>-4100</formula>
    </cfRule>
  </conditionalFormatting>
  <conditionalFormatting sqref="F235">
    <cfRule type="cellIs" dxfId="6" priority="62" operator="greaterThanOrEqual">
      <formula>0</formula>
    </cfRule>
  </conditionalFormatting>
  <conditionalFormatting sqref="F235">
    <cfRule type="cellIs" dxfId="5" priority="63" operator="lessThan">
      <formula>-4100</formula>
    </cfRule>
  </conditionalFormatting>
  <conditionalFormatting sqref="F235">
    <cfRule type="cellIs" dxfId="6" priority="64" operator="greaterThanOrEqual">
      <formula>0</formula>
    </cfRule>
  </conditionalFormatting>
  <conditionalFormatting sqref="F235">
    <cfRule type="cellIs" dxfId="5" priority="65" operator="lessThan">
      <formula>-4100</formula>
    </cfRule>
  </conditionalFormatting>
  <conditionalFormatting sqref="F235">
    <cfRule type="cellIs" dxfId="6" priority="66" operator="greaterThanOrEqual">
      <formula>0</formula>
    </cfRule>
  </conditionalFormatting>
  <conditionalFormatting sqref="F235">
    <cfRule type="cellIs" dxfId="5" priority="67" operator="lessThan">
      <formula>-4100</formula>
    </cfRule>
  </conditionalFormatting>
  <conditionalFormatting sqref="F235">
    <cfRule type="cellIs" dxfId="6" priority="68" operator="greaterThanOrEqual">
      <formula>0</formula>
    </cfRule>
  </conditionalFormatting>
  <conditionalFormatting sqref="F235">
    <cfRule type="cellIs" dxfId="5" priority="69" operator="lessThan">
      <formula>-4100</formula>
    </cfRule>
  </conditionalFormatting>
  <conditionalFormatting sqref="F235">
    <cfRule type="cellIs" dxfId="6" priority="70" operator="greaterThanOrEqual">
      <formula>0</formula>
    </cfRule>
  </conditionalFormatting>
  <conditionalFormatting sqref="F235">
    <cfRule type="cellIs" dxfId="5" priority="71" operator="lessThan">
      <formula>-4100</formula>
    </cfRule>
  </conditionalFormatting>
  <conditionalFormatting sqref="E235">
    <cfRule type="cellIs" dxfId="4" priority="72" operator="greaterThan">
      <formula>0</formula>
    </cfRule>
  </conditionalFormatting>
  <conditionalFormatting sqref="H231">
    <cfRule type="expression" dxfId="0" priority="73">
      <formula>H231&lt;($D$3-6%)</formula>
    </cfRule>
  </conditionalFormatting>
  <conditionalFormatting sqref="H231">
    <cfRule type="expression" dxfId="1" priority="74">
      <formula>H231&gt;($D$3+6%)</formula>
    </cfRule>
  </conditionalFormatting>
  <conditionalFormatting sqref="H231">
    <cfRule type="expression" dxfId="2" priority="75">
      <formula>H231&lt;($D$3-3%)</formula>
    </cfRule>
  </conditionalFormatting>
  <conditionalFormatting sqref="H231">
    <cfRule type="expression" dxfId="3" priority="76">
      <formula>H231&gt;($D$3+3%)</formula>
    </cfRule>
  </conditionalFormatting>
  <conditionalFormatting sqref="F285">
    <cfRule type="cellIs" dxfId="6" priority="77" operator="greaterThanOrEqual">
      <formula>0</formula>
    </cfRule>
  </conditionalFormatting>
  <conditionalFormatting sqref="F285">
    <cfRule type="cellIs" dxfId="5" priority="78" operator="lessThan">
      <formula>-4100</formula>
    </cfRule>
  </conditionalFormatting>
  <conditionalFormatting sqref="F285">
    <cfRule type="cellIs" dxfId="6" priority="79" operator="greaterThanOrEqual">
      <formula>0</formula>
    </cfRule>
  </conditionalFormatting>
  <conditionalFormatting sqref="F285">
    <cfRule type="cellIs" dxfId="5" priority="80" operator="lessThan">
      <formula>-4100</formula>
    </cfRule>
  </conditionalFormatting>
  <conditionalFormatting sqref="F285">
    <cfRule type="cellIs" dxfId="6" priority="81" operator="greaterThanOrEqual">
      <formula>0</formula>
    </cfRule>
  </conditionalFormatting>
  <conditionalFormatting sqref="F285">
    <cfRule type="cellIs" dxfId="5" priority="82" operator="lessThan">
      <formula>-4100</formula>
    </cfRule>
  </conditionalFormatting>
  <conditionalFormatting sqref="F285">
    <cfRule type="cellIs" dxfId="6" priority="83" operator="greaterThanOrEqual">
      <formula>0</formula>
    </cfRule>
  </conditionalFormatting>
  <conditionalFormatting sqref="F285">
    <cfRule type="cellIs" dxfId="5" priority="84" operator="lessThan">
      <formula>-4100</formula>
    </cfRule>
  </conditionalFormatting>
  <conditionalFormatting sqref="F285">
    <cfRule type="cellIs" dxfId="6" priority="85" operator="greaterThanOrEqual">
      <formula>0</formula>
    </cfRule>
  </conditionalFormatting>
  <conditionalFormatting sqref="F285">
    <cfRule type="cellIs" dxfId="5" priority="86" operator="lessThan">
      <formula>-4100</formula>
    </cfRule>
  </conditionalFormatting>
  <conditionalFormatting sqref="F285">
    <cfRule type="cellIs" dxfId="6" priority="87" operator="greaterThanOrEqual">
      <formula>0</formula>
    </cfRule>
  </conditionalFormatting>
  <conditionalFormatting sqref="F285">
    <cfRule type="cellIs" dxfId="5" priority="88" operator="lessThan">
      <formula>-4100</formula>
    </cfRule>
  </conditionalFormatting>
  <conditionalFormatting sqref="F285">
    <cfRule type="cellIs" dxfId="6" priority="89" operator="greaterThanOrEqual">
      <formula>0</formula>
    </cfRule>
  </conditionalFormatting>
  <conditionalFormatting sqref="F285">
    <cfRule type="cellIs" dxfId="5" priority="90" operator="lessThan">
      <formula>-4100</formula>
    </cfRule>
  </conditionalFormatting>
  <conditionalFormatting sqref="F285">
    <cfRule type="cellIs" dxfId="6" priority="91" operator="greaterThanOrEqual">
      <formula>0</formula>
    </cfRule>
  </conditionalFormatting>
  <conditionalFormatting sqref="F285">
    <cfRule type="cellIs" dxfId="5" priority="92" operator="lessThan">
      <formula>-4100</formula>
    </cfRule>
  </conditionalFormatting>
  <conditionalFormatting sqref="E285">
    <cfRule type="cellIs" dxfId="4" priority="93" operator="greaterThan">
      <formula>0</formula>
    </cfRule>
  </conditionalFormatting>
  <conditionalFormatting sqref="H85">
    <cfRule type="expression" dxfId="0" priority="94">
      <formula>H85&lt;($D$3-6%)</formula>
    </cfRule>
  </conditionalFormatting>
  <conditionalFormatting sqref="H85">
    <cfRule type="expression" dxfId="1" priority="95">
      <formula>H85&gt;($D$3+6%)</formula>
    </cfRule>
  </conditionalFormatting>
  <conditionalFormatting sqref="H85">
    <cfRule type="expression" dxfId="2" priority="96">
      <formula>H85&lt;($D$3-3%)</formula>
    </cfRule>
  </conditionalFormatting>
  <conditionalFormatting sqref="H85">
    <cfRule type="expression" dxfId="3" priority="97">
      <formula>H85&gt;($D$3+3%)</formula>
    </cfRule>
  </conditionalFormatting>
  <conditionalFormatting sqref="H86">
    <cfRule type="expression" dxfId="0" priority="98">
      <formula>H86&lt;($D$3-6%)</formula>
    </cfRule>
  </conditionalFormatting>
  <conditionalFormatting sqref="H86">
    <cfRule type="expression" dxfId="1" priority="99">
      <formula>H86&gt;($D$3+6%)</formula>
    </cfRule>
  </conditionalFormatting>
  <conditionalFormatting sqref="H86">
    <cfRule type="expression" dxfId="2" priority="100">
      <formula>H86&lt;($D$3-3%)</formula>
    </cfRule>
  </conditionalFormatting>
  <conditionalFormatting sqref="H86">
    <cfRule type="expression" dxfId="3" priority="101">
      <formula>H86&gt;($D$3+3%)</formula>
    </cfRule>
  </conditionalFormatting>
  <conditionalFormatting sqref="F180">
    <cfRule type="cellIs" dxfId="5" priority="102" operator="lessThan">
      <formula>-4100</formula>
    </cfRule>
  </conditionalFormatting>
  <conditionalFormatting sqref="F180">
    <cfRule type="cellIs" dxfId="6" priority="103" operator="greaterThanOrEqual">
      <formula>0</formula>
    </cfRule>
  </conditionalFormatting>
  <conditionalFormatting sqref="F180">
    <cfRule type="cellIs" dxfId="6" priority="104" operator="greaterThanOrEqual">
      <formula>0</formula>
    </cfRule>
  </conditionalFormatting>
  <conditionalFormatting sqref="F180">
    <cfRule type="cellIs" dxfId="5" priority="105" operator="lessThan">
      <formula>-4100</formula>
    </cfRule>
  </conditionalFormatting>
  <conditionalFormatting sqref="F180">
    <cfRule type="cellIs" dxfId="6" priority="106" operator="greaterThanOrEqual">
      <formula>0</formula>
    </cfRule>
  </conditionalFormatting>
  <conditionalFormatting sqref="F180">
    <cfRule type="cellIs" dxfId="5" priority="107" operator="lessThan">
      <formula>-4100</formula>
    </cfRule>
  </conditionalFormatting>
  <conditionalFormatting sqref="F180">
    <cfRule type="cellIs" dxfId="6" priority="108" operator="greaterThanOrEqual">
      <formula>0</formula>
    </cfRule>
  </conditionalFormatting>
  <conditionalFormatting sqref="F180">
    <cfRule type="cellIs" dxfId="5" priority="109" operator="lessThan">
      <formula>-4100</formula>
    </cfRule>
  </conditionalFormatting>
  <conditionalFormatting sqref="F180">
    <cfRule type="cellIs" dxfId="6" priority="110" operator="greaterThanOrEqual">
      <formula>0</formula>
    </cfRule>
  </conditionalFormatting>
  <conditionalFormatting sqref="F180">
    <cfRule type="cellIs" dxfId="5" priority="111" operator="lessThan">
      <formula>-4100</formula>
    </cfRule>
  </conditionalFormatting>
  <conditionalFormatting sqref="E180">
    <cfRule type="cellIs" dxfId="4" priority="112" operator="greaterThan">
      <formula>0</formula>
    </cfRule>
  </conditionalFormatting>
  <conditionalFormatting sqref="F180">
    <cfRule type="cellIs" dxfId="6" priority="113" operator="greaterThanOrEqual">
      <formula>0</formula>
    </cfRule>
  </conditionalFormatting>
  <conditionalFormatting sqref="F180">
    <cfRule type="cellIs" dxfId="5" priority="114" operator="lessThan">
      <formula>-4100</formula>
    </cfRule>
  </conditionalFormatting>
  <conditionalFormatting sqref="F180">
    <cfRule type="cellIs" dxfId="6" priority="115" operator="greaterThanOrEqual">
      <formula>0</formula>
    </cfRule>
  </conditionalFormatting>
  <conditionalFormatting sqref="F180">
    <cfRule type="cellIs" dxfId="5" priority="116" operator="lessThan">
      <formula>-4100</formula>
    </cfRule>
  </conditionalFormatting>
  <conditionalFormatting sqref="F180">
    <cfRule type="cellIs" dxfId="6" priority="117" operator="greaterThanOrEqual">
      <formula>0</formula>
    </cfRule>
  </conditionalFormatting>
  <conditionalFormatting sqref="F180">
    <cfRule type="cellIs" dxfId="5" priority="118" operator="lessThan">
      <formula>-4100</formula>
    </cfRule>
  </conditionalFormatting>
  <conditionalFormatting sqref="H110">
    <cfRule type="expression" dxfId="0" priority="119">
      <formula>H110&lt;($D$3-6%)</formula>
    </cfRule>
  </conditionalFormatting>
  <conditionalFormatting sqref="H110">
    <cfRule type="expression" dxfId="1" priority="120">
      <formula>H110&gt;($D$3+6%)</formula>
    </cfRule>
  </conditionalFormatting>
  <conditionalFormatting sqref="H110">
    <cfRule type="expression" dxfId="2" priority="121">
      <formula>H110&lt;($D$3-3%)</formula>
    </cfRule>
  </conditionalFormatting>
  <conditionalFormatting sqref="H110">
    <cfRule type="expression" dxfId="3" priority="122">
      <formula>H110&gt;($D$3+3%)</formula>
    </cfRule>
  </conditionalFormatting>
  <conditionalFormatting sqref="H111">
    <cfRule type="expression" dxfId="0" priority="123">
      <formula>H111&lt;($D$3-6%)</formula>
    </cfRule>
  </conditionalFormatting>
  <conditionalFormatting sqref="H111">
    <cfRule type="expression" dxfId="1" priority="124">
      <formula>H111&gt;($D$3+6%)</formula>
    </cfRule>
  </conditionalFormatting>
  <conditionalFormatting sqref="H111">
    <cfRule type="expression" dxfId="2" priority="125">
      <formula>H111&lt;($D$3-3%)</formula>
    </cfRule>
  </conditionalFormatting>
  <conditionalFormatting sqref="H111">
    <cfRule type="expression" dxfId="3" priority="126">
      <formula>H111&gt;($D$3+3%)</formula>
    </cfRule>
  </conditionalFormatting>
  <conditionalFormatting sqref="F114">
    <cfRule type="cellIs" dxfId="5" priority="127" operator="lessThan">
      <formula>-4100</formula>
    </cfRule>
  </conditionalFormatting>
  <conditionalFormatting sqref="F114">
    <cfRule type="cellIs" dxfId="6" priority="128" operator="greaterThanOrEqual">
      <formula>0</formula>
    </cfRule>
  </conditionalFormatting>
  <conditionalFormatting sqref="F114">
    <cfRule type="cellIs" dxfId="6" priority="129" operator="greaterThanOrEqual">
      <formula>0</formula>
    </cfRule>
  </conditionalFormatting>
  <conditionalFormatting sqref="F114">
    <cfRule type="cellIs" dxfId="5" priority="130" operator="lessThan">
      <formula>-4100</formula>
    </cfRule>
  </conditionalFormatting>
  <conditionalFormatting sqref="F114">
    <cfRule type="cellIs" dxfId="6" priority="131" operator="greaterThanOrEqual">
      <formula>0</formula>
    </cfRule>
  </conditionalFormatting>
  <conditionalFormatting sqref="F114">
    <cfRule type="cellIs" dxfId="5" priority="132" operator="lessThan">
      <formula>-4100</formula>
    </cfRule>
  </conditionalFormatting>
  <conditionalFormatting sqref="F114">
    <cfRule type="cellIs" dxfId="6" priority="133" operator="greaterThanOrEqual">
      <formula>0</formula>
    </cfRule>
  </conditionalFormatting>
  <conditionalFormatting sqref="F114">
    <cfRule type="cellIs" dxfId="5" priority="134" operator="lessThan">
      <formula>-4100</formula>
    </cfRule>
  </conditionalFormatting>
  <conditionalFormatting sqref="F114">
    <cfRule type="cellIs" dxfId="6" priority="135" operator="greaterThanOrEqual">
      <formula>0</formula>
    </cfRule>
  </conditionalFormatting>
  <conditionalFormatting sqref="F114">
    <cfRule type="cellIs" dxfId="5" priority="136" operator="lessThan">
      <formula>-4100</formula>
    </cfRule>
  </conditionalFormatting>
  <conditionalFormatting sqref="F114">
    <cfRule type="cellIs" dxfId="5" priority="137" operator="lessThan">
      <formula>-4100</formula>
    </cfRule>
  </conditionalFormatting>
  <conditionalFormatting sqref="F114">
    <cfRule type="cellIs" dxfId="6" priority="138" operator="greaterThanOrEqual">
      <formula>0</formula>
    </cfRule>
  </conditionalFormatting>
  <conditionalFormatting sqref="F114">
    <cfRule type="cellIs" dxfId="6" priority="139" operator="greaterThanOrEqual">
      <formula>0</formula>
    </cfRule>
  </conditionalFormatting>
  <conditionalFormatting sqref="F114">
    <cfRule type="cellIs" dxfId="5" priority="140" operator="lessThan">
      <formula>-4100</formula>
    </cfRule>
  </conditionalFormatting>
  <conditionalFormatting sqref="F114">
    <cfRule type="cellIs" dxfId="6" priority="141" operator="greaterThanOrEqual">
      <formula>0</formula>
    </cfRule>
  </conditionalFormatting>
  <conditionalFormatting sqref="F114">
    <cfRule type="cellIs" dxfId="5" priority="142" operator="lessThan">
      <formula>-4100</formula>
    </cfRule>
  </conditionalFormatting>
  <conditionalFormatting sqref="E114">
    <cfRule type="cellIs" dxfId="4" priority="143" operator="greaterThan">
      <formula>0</formula>
    </cfRule>
  </conditionalFormatting>
  <conditionalFormatting sqref="F280">
    <cfRule type="cellIs" dxfId="6" priority="144" operator="greaterThanOrEqual">
      <formula>0</formula>
    </cfRule>
  </conditionalFormatting>
  <conditionalFormatting sqref="F280">
    <cfRule type="cellIs" dxfId="5" priority="145" operator="lessThan">
      <formula>-4100</formula>
    </cfRule>
  </conditionalFormatting>
  <conditionalFormatting sqref="F280">
    <cfRule type="cellIs" dxfId="6" priority="146" operator="greaterThanOrEqual">
      <formula>0</formula>
    </cfRule>
  </conditionalFormatting>
  <conditionalFormatting sqref="F280">
    <cfRule type="cellIs" dxfId="5" priority="147" operator="lessThan">
      <formula>-4100</formula>
    </cfRule>
  </conditionalFormatting>
  <conditionalFormatting sqref="F280">
    <cfRule type="cellIs" dxfId="6" priority="148" operator="greaterThanOrEqual">
      <formula>0</formula>
    </cfRule>
  </conditionalFormatting>
  <conditionalFormatting sqref="F280">
    <cfRule type="cellIs" dxfId="5" priority="149" operator="lessThan">
      <formula>-4100</formula>
    </cfRule>
  </conditionalFormatting>
  <conditionalFormatting sqref="F280">
    <cfRule type="cellIs" dxfId="6" priority="150" operator="greaterThanOrEqual">
      <formula>0</formula>
    </cfRule>
  </conditionalFormatting>
  <conditionalFormatting sqref="F280">
    <cfRule type="cellIs" dxfId="5" priority="151" operator="lessThan">
      <formula>-4100</formula>
    </cfRule>
  </conditionalFormatting>
  <conditionalFormatting sqref="F280">
    <cfRule type="cellIs" dxfId="6" priority="152" operator="greaterThanOrEqual">
      <formula>0</formula>
    </cfRule>
  </conditionalFormatting>
  <conditionalFormatting sqref="F280">
    <cfRule type="cellIs" dxfId="5" priority="153" operator="lessThan">
      <formula>-4100</formula>
    </cfRule>
  </conditionalFormatting>
  <conditionalFormatting sqref="F280">
    <cfRule type="cellIs" dxfId="6" priority="154" operator="greaterThanOrEqual">
      <formula>0</formula>
    </cfRule>
  </conditionalFormatting>
  <conditionalFormatting sqref="F280">
    <cfRule type="cellIs" dxfId="5" priority="155" operator="lessThan">
      <formula>-4100</formula>
    </cfRule>
  </conditionalFormatting>
  <conditionalFormatting sqref="F280">
    <cfRule type="cellIs" dxfId="6" priority="156" operator="greaterThanOrEqual">
      <formula>0</formula>
    </cfRule>
  </conditionalFormatting>
  <conditionalFormatting sqref="F280">
    <cfRule type="cellIs" dxfId="5" priority="157" operator="lessThan">
      <formula>-4100</formula>
    </cfRule>
  </conditionalFormatting>
  <conditionalFormatting sqref="F280">
    <cfRule type="cellIs" dxfId="6" priority="158" operator="greaterThanOrEqual">
      <formula>0</formula>
    </cfRule>
  </conditionalFormatting>
  <conditionalFormatting sqref="F280">
    <cfRule type="cellIs" dxfId="5" priority="159" operator="lessThan">
      <formula>-4100</formula>
    </cfRule>
  </conditionalFormatting>
  <conditionalFormatting sqref="E280">
    <cfRule type="cellIs" dxfId="4" priority="160" operator="greaterThan">
      <formula>0</formula>
    </cfRule>
  </conditionalFormatting>
  <conditionalFormatting sqref="F240">
    <cfRule type="cellIs" dxfId="6" priority="161" operator="greaterThanOrEqual">
      <formula>0</formula>
    </cfRule>
  </conditionalFormatting>
  <conditionalFormatting sqref="F240">
    <cfRule type="cellIs" dxfId="5" priority="162" operator="lessThan">
      <formula>-4100</formula>
    </cfRule>
  </conditionalFormatting>
  <conditionalFormatting sqref="F240">
    <cfRule type="cellIs" dxfId="6" priority="163" operator="greaterThanOrEqual">
      <formula>0</formula>
    </cfRule>
  </conditionalFormatting>
  <conditionalFormatting sqref="F240">
    <cfRule type="cellIs" dxfId="5" priority="164" operator="lessThan">
      <formula>-4100</formula>
    </cfRule>
  </conditionalFormatting>
  <conditionalFormatting sqref="F240">
    <cfRule type="cellIs" dxfId="6" priority="165" operator="greaterThanOrEqual">
      <formula>0</formula>
    </cfRule>
  </conditionalFormatting>
  <conditionalFormatting sqref="F240">
    <cfRule type="cellIs" dxfId="5" priority="166" operator="lessThan">
      <formula>-4100</formula>
    </cfRule>
  </conditionalFormatting>
  <conditionalFormatting sqref="F240">
    <cfRule type="cellIs" dxfId="6" priority="167" operator="greaterThanOrEqual">
      <formula>0</formula>
    </cfRule>
  </conditionalFormatting>
  <conditionalFormatting sqref="F240">
    <cfRule type="cellIs" dxfId="5" priority="168" operator="lessThan">
      <formula>-4100</formula>
    </cfRule>
  </conditionalFormatting>
  <conditionalFormatting sqref="F240">
    <cfRule type="cellIs" dxfId="6" priority="169" operator="greaterThanOrEqual">
      <formula>0</formula>
    </cfRule>
  </conditionalFormatting>
  <conditionalFormatting sqref="F240">
    <cfRule type="cellIs" dxfId="5" priority="170" operator="lessThan">
      <formula>-4100</formula>
    </cfRule>
  </conditionalFormatting>
  <conditionalFormatting sqref="F240">
    <cfRule type="cellIs" dxfId="6" priority="171" operator="greaterThanOrEqual">
      <formula>0</formula>
    </cfRule>
  </conditionalFormatting>
  <conditionalFormatting sqref="F240">
    <cfRule type="cellIs" dxfId="5" priority="172" operator="lessThan">
      <formula>-4100</formula>
    </cfRule>
  </conditionalFormatting>
  <conditionalFormatting sqref="F240">
    <cfRule type="cellIs" dxfId="6" priority="173" operator="greaterThanOrEqual">
      <formula>0</formula>
    </cfRule>
  </conditionalFormatting>
  <conditionalFormatting sqref="F240">
    <cfRule type="cellIs" dxfId="5" priority="174" operator="lessThan">
      <formula>-4100</formula>
    </cfRule>
  </conditionalFormatting>
  <conditionalFormatting sqref="F240">
    <cfRule type="cellIs" dxfId="6" priority="175" operator="greaterThanOrEqual">
      <formula>0</formula>
    </cfRule>
  </conditionalFormatting>
  <conditionalFormatting sqref="F240">
    <cfRule type="cellIs" dxfId="5" priority="176" operator="lessThan">
      <formula>-4100</formula>
    </cfRule>
  </conditionalFormatting>
  <conditionalFormatting sqref="E240">
    <cfRule type="cellIs" dxfId="4" priority="177" operator="greaterThan">
      <formula>0</formula>
    </cfRule>
  </conditionalFormatting>
  <conditionalFormatting sqref="H45">
    <cfRule type="expression" dxfId="0" priority="178">
      <formula>H45&lt;($D$3-6%)</formula>
    </cfRule>
  </conditionalFormatting>
  <conditionalFormatting sqref="H45">
    <cfRule type="expression" dxfId="1" priority="179">
      <formula>H45&gt;($D$3+6%)</formula>
    </cfRule>
  </conditionalFormatting>
  <conditionalFormatting sqref="H45">
    <cfRule type="expression" dxfId="2" priority="180">
      <formula>H45&lt;($D$3-3%)</formula>
    </cfRule>
  </conditionalFormatting>
  <conditionalFormatting sqref="H45">
    <cfRule type="expression" dxfId="3" priority="181">
      <formula>H45&gt;($D$3+3%)</formula>
    </cfRule>
  </conditionalFormatting>
  <conditionalFormatting sqref="H46">
    <cfRule type="expression" dxfId="0" priority="182">
      <formula>H46&lt;($D$3-6%)</formula>
    </cfRule>
  </conditionalFormatting>
  <conditionalFormatting sqref="H46">
    <cfRule type="expression" dxfId="1" priority="183">
      <formula>H46&gt;($D$3+6%)</formula>
    </cfRule>
  </conditionalFormatting>
  <conditionalFormatting sqref="H46">
    <cfRule type="expression" dxfId="2" priority="184">
      <formula>H46&lt;($D$3-3%)</formula>
    </cfRule>
  </conditionalFormatting>
  <conditionalFormatting sqref="H46">
    <cfRule type="expression" dxfId="3" priority="185">
      <formula>H46&gt;($D$3+3%)</formula>
    </cfRule>
  </conditionalFormatting>
  <conditionalFormatting sqref="F49">
    <cfRule type="cellIs" dxfId="5" priority="186" operator="lessThan">
      <formula>-4100</formula>
    </cfRule>
  </conditionalFormatting>
  <conditionalFormatting sqref="F49">
    <cfRule type="cellIs" dxfId="6" priority="187" operator="greaterThanOrEqual">
      <formula>0</formula>
    </cfRule>
  </conditionalFormatting>
  <conditionalFormatting sqref="F49">
    <cfRule type="cellIs" dxfId="6" priority="188" operator="greaterThanOrEqual">
      <formula>0</formula>
    </cfRule>
  </conditionalFormatting>
  <conditionalFormatting sqref="F49">
    <cfRule type="cellIs" dxfId="5" priority="189" operator="lessThan">
      <formula>-4100</formula>
    </cfRule>
  </conditionalFormatting>
  <conditionalFormatting sqref="F49">
    <cfRule type="cellIs" dxfId="6" priority="190" operator="greaterThanOrEqual">
      <formula>0</formula>
    </cfRule>
  </conditionalFormatting>
  <conditionalFormatting sqref="F49">
    <cfRule type="cellIs" dxfId="5" priority="191" operator="lessThan">
      <formula>-4100</formula>
    </cfRule>
  </conditionalFormatting>
  <conditionalFormatting sqref="F49">
    <cfRule type="cellIs" dxfId="6" priority="192" operator="greaterThanOrEqual">
      <formula>0</formula>
    </cfRule>
  </conditionalFormatting>
  <conditionalFormatting sqref="F49">
    <cfRule type="cellIs" dxfId="5" priority="193" operator="lessThan">
      <formula>-4100</formula>
    </cfRule>
  </conditionalFormatting>
  <conditionalFormatting sqref="F49">
    <cfRule type="cellIs" dxfId="6" priority="194" operator="greaterThanOrEqual">
      <formula>0</formula>
    </cfRule>
  </conditionalFormatting>
  <conditionalFormatting sqref="F49">
    <cfRule type="cellIs" dxfId="5" priority="195" operator="lessThan">
      <formula>-4100</formula>
    </cfRule>
  </conditionalFormatting>
  <conditionalFormatting sqref="F49">
    <cfRule type="cellIs" dxfId="5" priority="196" operator="lessThan">
      <formula>-4100</formula>
    </cfRule>
  </conditionalFormatting>
  <conditionalFormatting sqref="F49">
    <cfRule type="cellIs" dxfId="6" priority="197" operator="greaterThanOrEqual">
      <formula>0</formula>
    </cfRule>
  </conditionalFormatting>
  <conditionalFormatting sqref="F49">
    <cfRule type="cellIs" dxfId="6" priority="198" operator="greaterThanOrEqual">
      <formula>0</formula>
    </cfRule>
  </conditionalFormatting>
  <conditionalFormatting sqref="F49">
    <cfRule type="cellIs" dxfId="5" priority="199" operator="lessThan">
      <formula>-4100</formula>
    </cfRule>
  </conditionalFormatting>
  <conditionalFormatting sqref="F49">
    <cfRule type="cellIs" dxfId="6" priority="200" operator="greaterThanOrEqual">
      <formula>0</formula>
    </cfRule>
  </conditionalFormatting>
  <conditionalFormatting sqref="F49">
    <cfRule type="cellIs" dxfId="5" priority="201" operator="lessThan">
      <formula>-4100</formula>
    </cfRule>
  </conditionalFormatting>
  <conditionalFormatting sqref="E49">
    <cfRule type="cellIs" dxfId="4" priority="202" operator="greaterThan">
      <formula>0</formula>
    </cfRule>
  </conditionalFormatting>
  <conditionalFormatting sqref="F195">
    <cfRule type="cellIs" dxfId="5" priority="203" operator="lessThan">
      <formula>-4100</formula>
    </cfRule>
  </conditionalFormatting>
  <conditionalFormatting sqref="F195">
    <cfRule type="cellIs" dxfId="6" priority="204" operator="greaterThanOrEqual">
      <formula>0</formula>
    </cfRule>
  </conditionalFormatting>
  <conditionalFormatting sqref="F195">
    <cfRule type="cellIs" dxfId="6" priority="205" operator="greaterThanOrEqual">
      <formula>0</formula>
    </cfRule>
  </conditionalFormatting>
  <conditionalFormatting sqref="F195">
    <cfRule type="cellIs" dxfId="5" priority="206" operator="lessThan">
      <formula>-4100</formula>
    </cfRule>
  </conditionalFormatting>
  <conditionalFormatting sqref="F195">
    <cfRule type="cellIs" dxfId="6" priority="207" operator="greaterThanOrEqual">
      <formula>0</formula>
    </cfRule>
  </conditionalFormatting>
  <conditionalFormatting sqref="F195">
    <cfRule type="cellIs" dxfId="5" priority="208" operator="lessThan">
      <formula>-4100</formula>
    </cfRule>
  </conditionalFormatting>
  <conditionalFormatting sqref="F195">
    <cfRule type="cellIs" dxfId="6" priority="209" operator="greaterThanOrEqual">
      <formula>0</formula>
    </cfRule>
  </conditionalFormatting>
  <conditionalFormatting sqref="F195">
    <cfRule type="cellIs" dxfId="5" priority="210" operator="lessThan">
      <formula>-4100</formula>
    </cfRule>
  </conditionalFormatting>
  <conditionalFormatting sqref="E195">
    <cfRule type="cellIs" dxfId="4" priority="211" operator="greaterThan">
      <formula>0</formula>
    </cfRule>
  </conditionalFormatting>
  <conditionalFormatting sqref="H95">
    <cfRule type="expression" dxfId="0" priority="212">
      <formula>H95&lt;($D$3-6%)</formula>
    </cfRule>
  </conditionalFormatting>
  <conditionalFormatting sqref="H95">
    <cfRule type="expression" dxfId="1" priority="213">
      <formula>H95&gt;($D$3+6%)</formula>
    </cfRule>
  </conditionalFormatting>
  <conditionalFormatting sqref="H95">
    <cfRule type="expression" dxfId="2" priority="214">
      <formula>H95&lt;($D$3-3%)</formula>
    </cfRule>
  </conditionalFormatting>
  <conditionalFormatting sqref="H95">
    <cfRule type="expression" dxfId="3" priority="215">
      <formula>H95&gt;($D$3+3%)</formula>
    </cfRule>
  </conditionalFormatting>
  <conditionalFormatting sqref="H96">
    <cfRule type="expression" dxfId="0" priority="216">
      <formula>H96&lt;($D$3-6%)</formula>
    </cfRule>
  </conditionalFormatting>
  <conditionalFormatting sqref="H96">
    <cfRule type="expression" dxfId="1" priority="217">
      <formula>H96&gt;($D$3+6%)</formula>
    </cfRule>
  </conditionalFormatting>
  <conditionalFormatting sqref="H96">
    <cfRule type="expression" dxfId="2" priority="218">
      <formula>H96&lt;($D$3-3%)</formula>
    </cfRule>
  </conditionalFormatting>
  <conditionalFormatting sqref="H96">
    <cfRule type="expression" dxfId="3" priority="219">
      <formula>H96&gt;($D$3+3%)</formula>
    </cfRule>
  </conditionalFormatting>
  <conditionalFormatting sqref="F165">
    <cfRule type="cellIs" dxfId="5" priority="220" operator="lessThan">
      <formula>-4100</formula>
    </cfRule>
  </conditionalFormatting>
  <conditionalFormatting sqref="F165">
    <cfRule type="cellIs" dxfId="6" priority="221" operator="greaterThanOrEqual">
      <formula>0</formula>
    </cfRule>
  </conditionalFormatting>
  <conditionalFormatting sqref="F165">
    <cfRule type="cellIs" dxfId="6" priority="222" operator="greaterThanOrEqual">
      <formula>0</formula>
    </cfRule>
  </conditionalFormatting>
  <conditionalFormatting sqref="F165">
    <cfRule type="cellIs" dxfId="5" priority="223" operator="lessThan">
      <formula>-4100</formula>
    </cfRule>
  </conditionalFormatting>
  <conditionalFormatting sqref="F165">
    <cfRule type="cellIs" dxfId="6" priority="224" operator="greaterThanOrEqual">
      <formula>0</formula>
    </cfRule>
  </conditionalFormatting>
  <conditionalFormatting sqref="F165">
    <cfRule type="cellIs" dxfId="5" priority="225" operator="lessThan">
      <formula>-4100</formula>
    </cfRule>
  </conditionalFormatting>
  <conditionalFormatting sqref="F165">
    <cfRule type="cellIs" dxfId="6" priority="226" operator="greaterThanOrEqual">
      <formula>0</formula>
    </cfRule>
  </conditionalFormatting>
  <conditionalFormatting sqref="F165">
    <cfRule type="cellIs" dxfId="5" priority="227" operator="lessThan">
      <formula>-4100</formula>
    </cfRule>
  </conditionalFormatting>
  <conditionalFormatting sqref="F165">
    <cfRule type="cellIs" dxfId="6" priority="228" operator="greaterThanOrEqual">
      <formula>0</formula>
    </cfRule>
  </conditionalFormatting>
  <conditionalFormatting sqref="F165">
    <cfRule type="cellIs" dxfId="5" priority="229" operator="lessThan">
      <formula>-4100</formula>
    </cfRule>
  </conditionalFormatting>
  <conditionalFormatting sqref="F165">
    <cfRule type="cellIs" dxfId="5" priority="230" operator="lessThan">
      <formula>-4100</formula>
    </cfRule>
  </conditionalFormatting>
  <conditionalFormatting sqref="F165">
    <cfRule type="cellIs" dxfId="6" priority="231" operator="greaterThanOrEqual">
      <formula>0</formula>
    </cfRule>
  </conditionalFormatting>
  <conditionalFormatting sqref="F165">
    <cfRule type="cellIs" dxfId="6" priority="232" operator="greaterThanOrEqual">
      <formula>0</formula>
    </cfRule>
  </conditionalFormatting>
  <conditionalFormatting sqref="F165">
    <cfRule type="cellIs" dxfId="5" priority="233" operator="lessThan">
      <formula>-4100</formula>
    </cfRule>
  </conditionalFormatting>
  <conditionalFormatting sqref="F165">
    <cfRule type="cellIs" dxfId="6" priority="234" operator="greaterThanOrEqual">
      <formula>0</formula>
    </cfRule>
  </conditionalFormatting>
  <conditionalFormatting sqref="F165">
    <cfRule type="cellIs" dxfId="5" priority="235" operator="lessThan">
      <formula>-4100</formula>
    </cfRule>
  </conditionalFormatting>
  <conditionalFormatting sqref="E165">
    <cfRule type="cellIs" dxfId="4" priority="236" operator="greaterThan">
      <formula>0</formula>
    </cfRule>
  </conditionalFormatting>
  <conditionalFormatting sqref="H25">
    <cfRule type="expression" dxfId="0" priority="237">
      <formula>H25&lt;($D$3-6%)</formula>
    </cfRule>
  </conditionalFormatting>
  <conditionalFormatting sqref="H25">
    <cfRule type="expression" dxfId="1" priority="238">
      <formula>H25&gt;($D$3+6%)</formula>
    </cfRule>
  </conditionalFormatting>
  <conditionalFormatting sqref="H25">
    <cfRule type="expression" dxfId="2" priority="239">
      <formula>H25&lt;($D$3-3%)</formula>
    </cfRule>
  </conditionalFormatting>
  <conditionalFormatting sqref="H25">
    <cfRule type="expression" dxfId="3" priority="240">
      <formula>H25&gt;($D$3+3%)</formula>
    </cfRule>
  </conditionalFormatting>
  <conditionalFormatting sqref="H26">
    <cfRule type="expression" dxfId="0" priority="241">
      <formula>H26&lt;($D$3-6%)</formula>
    </cfRule>
  </conditionalFormatting>
  <conditionalFormatting sqref="H26">
    <cfRule type="expression" dxfId="1" priority="242">
      <formula>H26&gt;($D$3+6%)</formula>
    </cfRule>
  </conditionalFormatting>
  <conditionalFormatting sqref="H26">
    <cfRule type="expression" dxfId="2" priority="243">
      <formula>H26&lt;($D$3-3%)</formula>
    </cfRule>
  </conditionalFormatting>
  <conditionalFormatting sqref="H26">
    <cfRule type="expression" dxfId="3" priority="244">
      <formula>H26&gt;($D$3+3%)</formula>
    </cfRule>
  </conditionalFormatting>
  <conditionalFormatting sqref="F29">
    <cfRule type="cellIs" dxfId="5" priority="245" operator="lessThan">
      <formula>-4100</formula>
    </cfRule>
  </conditionalFormatting>
  <conditionalFormatting sqref="F29">
    <cfRule type="cellIs" dxfId="6" priority="246" operator="greaterThanOrEqual">
      <formula>0</formula>
    </cfRule>
  </conditionalFormatting>
  <conditionalFormatting sqref="F29">
    <cfRule type="cellIs" dxfId="6" priority="247" operator="greaterThanOrEqual">
      <formula>0</formula>
    </cfRule>
  </conditionalFormatting>
  <conditionalFormatting sqref="F29">
    <cfRule type="cellIs" dxfId="5" priority="248" operator="lessThan">
      <formula>-4100</formula>
    </cfRule>
  </conditionalFormatting>
  <conditionalFormatting sqref="F29">
    <cfRule type="cellIs" dxfId="6" priority="249" operator="greaterThanOrEqual">
      <formula>0</formula>
    </cfRule>
  </conditionalFormatting>
  <conditionalFormatting sqref="F29">
    <cfRule type="cellIs" dxfId="5" priority="250" operator="lessThan">
      <formula>-4100</formula>
    </cfRule>
  </conditionalFormatting>
  <conditionalFormatting sqref="F29">
    <cfRule type="cellIs" dxfId="6" priority="251" operator="greaterThanOrEqual">
      <formula>0</formula>
    </cfRule>
  </conditionalFormatting>
  <conditionalFormatting sqref="F29">
    <cfRule type="cellIs" dxfId="5" priority="252" operator="lessThan">
      <formula>-4100</formula>
    </cfRule>
  </conditionalFormatting>
  <conditionalFormatting sqref="F29">
    <cfRule type="cellIs" dxfId="6" priority="253" operator="greaterThanOrEqual">
      <formula>0</formula>
    </cfRule>
  </conditionalFormatting>
  <conditionalFormatting sqref="F29">
    <cfRule type="cellIs" dxfId="5" priority="254" operator="lessThan">
      <formula>-4100</formula>
    </cfRule>
  </conditionalFormatting>
  <conditionalFormatting sqref="F29">
    <cfRule type="cellIs" dxfId="5" priority="255" operator="lessThan">
      <formula>-4100</formula>
    </cfRule>
  </conditionalFormatting>
  <conditionalFormatting sqref="F29">
    <cfRule type="cellIs" dxfId="6" priority="256" operator="greaterThanOrEqual">
      <formula>0</formula>
    </cfRule>
  </conditionalFormatting>
  <conditionalFormatting sqref="F29">
    <cfRule type="cellIs" dxfId="6" priority="257" operator="greaterThanOrEqual">
      <formula>0</formula>
    </cfRule>
  </conditionalFormatting>
  <conditionalFormatting sqref="F29">
    <cfRule type="cellIs" dxfId="5" priority="258" operator="lessThan">
      <formula>-4100</formula>
    </cfRule>
  </conditionalFormatting>
  <conditionalFormatting sqref="F29">
    <cfRule type="cellIs" dxfId="6" priority="259" operator="greaterThanOrEqual">
      <formula>0</formula>
    </cfRule>
  </conditionalFormatting>
  <conditionalFormatting sqref="F29">
    <cfRule type="cellIs" dxfId="5" priority="260" operator="lessThan">
      <formula>-4100</formula>
    </cfRule>
  </conditionalFormatting>
  <conditionalFormatting sqref="E29">
    <cfRule type="cellIs" dxfId="4" priority="261" operator="greaterThan">
      <formula>0</formula>
    </cfRule>
  </conditionalFormatting>
  <conditionalFormatting sqref="F275">
    <cfRule type="cellIs" dxfId="6" priority="262" operator="greaterThanOrEqual">
      <formula>0</formula>
    </cfRule>
  </conditionalFormatting>
  <conditionalFormatting sqref="F275">
    <cfRule type="cellIs" dxfId="5" priority="263" operator="lessThan">
      <formula>-4100</formula>
    </cfRule>
  </conditionalFormatting>
  <conditionalFormatting sqref="F275">
    <cfRule type="cellIs" dxfId="6" priority="264" operator="greaterThanOrEqual">
      <formula>0</formula>
    </cfRule>
  </conditionalFormatting>
  <conditionalFormatting sqref="F275">
    <cfRule type="cellIs" dxfId="5" priority="265" operator="lessThan">
      <formula>-4100</formula>
    </cfRule>
  </conditionalFormatting>
  <conditionalFormatting sqref="F275">
    <cfRule type="cellIs" dxfId="6" priority="266" operator="greaterThanOrEqual">
      <formula>0</formula>
    </cfRule>
  </conditionalFormatting>
  <conditionalFormatting sqref="F275">
    <cfRule type="cellIs" dxfId="5" priority="267" operator="lessThan">
      <formula>-4100</formula>
    </cfRule>
  </conditionalFormatting>
  <conditionalFormatting sqref="F275">
    <cfRule type="cellIs" dxfId="6" priority="268" operator="greaterThanOrEqual">
      <formula>0</formula>
    </cfRule>
  </conditionalFormatting>
  <conditionalFormatting sqref="F275">
    <cfRule type="cellIs" dxfId="5" priority="269" operator="lessThan">
      <formula>-4100</formula>
    </cfRule>
  </conditionalFormatting>
  <conditionalFormatting sqref="F275">
    <cfRule type="cellIs" dxfId="6" priority="270" operator="greaterThanOrEqual">
      <formula>0</formula>
    </cfRule>
  </conditionalFormatting>
  <conditionalFormatting sqref="F275">
    <cfRule type="cellIs" dxfId="5" priority="271" operator="lessThan">
      <formula>-4100</formula>
    </cfRule>
  </conditionalFormatting>
  <conditionalFormatting sqref="F275">
    <cfRule type="cellIs" dxfId="6" priority="272" operator="greaterThanOrEqual">
      <formula>0</formula>
    </cfRule>
  </conditionalFormatting>
  <conditionalFormatting sqref="F275">
    <cfRule type="cellIs" dxfId="5" priority="273" operator="lessThan">
      <formula>-4100</formula>
    </cfRule>
  </conditionalFormatting>
  <conditionalFormatting sqref="F275">
    <cfRule type="cellIs" dxfId="6" priority="274" operator="greaterThanOrEqual">
      <formula>0</formula>
    </cfRule>
  </conditionalFormatting>
  <conditionalFormatting sqref="F275">
    <cfRule type="cellIs" dxfId="5" priority="275" operator="lessThan">
      <formula>-4100</formula>
    </cfRule>
  </conditionalFormatting>
  <conditionalFormatting sqref="F275">
    <cfRule type="cellIs" dxfId="6" priority="276" operator="greaterThanOrEqual">
      <formula>0</formula>
    </cfRule>
  </conditionalFormatting>
  <conditionalFormatting sqref="F275">
    <cfRule type="cellIs" dxfId="5" priority="277" operator="lessThan">
      <formula>-4100</formula>
    </cfRule>
  </conditionalFormatting>
  <conditionalFormatting sqref="E275">
    <cfRule type="cellIs" dxfId="4" priority="278" operator="greaterThan">
      <formula>0</formula>
    </cfRule>
  </conditionalFormatting>
  <conditionalFormatting sqref="F99">
    <cfRule type="cellIs" dxfId="6" priority="279" operator="greaterThanOrEqual">
      <formula>0</formula>
    </cfRule>
  </conditionalFormatting>
  <conditionalFormatting sqref="F99">
    <cfRule type="cellIs" dxfId="5" priority="280" operator="lessThan">
      <formula>-4100</formula>
    </cfRule>
  </conditionalFormatting>
  <conditionalFormatting sqref="F99">
    <cfRule type="cellIs" dxfId="5" priority="281" operator="lessThan">
      <formula>-4100</formula>
    </cfRule>
  </conditionalFormatting>
  <conditionalFormatting sqref="F99">
    <cfRule type="cellIs" dxfId="6" priority="282" operator="greaterThanOrEqual">
      <formula>0</formula>
    </cfRule>
  </conditionalFormatting>
  <conditionalFormatting sqref="F99">
    <cfRule type="cellIs" dxfId="6" priority="283" operator="greaterThanOrEqual">
      <formula>0</formula>
    </cfRule>
  </conditionalFormatting>
  <conditionalFormatting sqref="F99">
    <cfRule type="cellIs" dxfId="5" priority="284" operator="lessThan">
      <formula>-4100</formula>
    </cfRule>
  </conditionalFormatting>
  <conditionalFormatting sqref="E99">
    <cfRule type="cellIs" dxfId="4" priority="285" operator="greaterThan">
      <formula>0</formula>
    </cfRule>
  </conditionalFormatting>
  <conditionalFormatting sqref="F99">
    <cfRule type="cellIs" dxfId="6" priority="286" operator="greaterThanOrEqual">
      <formula>0</formula>
    </cfRule>
  </conditionalFormatting>
  <conditionalFormatting sqref="F99">
    <cfRule type="cellIs" dxfId="5" priority="287" operator="lessThan">
      <formula>-4100</formula>
    </cfRule>
  </conditionalFormatting>
  <conditionalFormatting sqref="F99">
    <cfRule type="cellIs" dxfId="6" priority="288" operator="greaterThanOrEqual">
      <formula>0</formula>
    </cfRule>
  </conditionalFormatting>
  <conditionalFormatting sqref="F99">
    <cfRule type="cellIs" dxfId="5" priority="289" operator="lessThan">
      <formula>-4100</formula>
    </cfRule>
  </conditionalFormatting>
  <conditionalFormatting sqref="F99">
    <cfRule type="cellIs" dxfId="6" priority="290" operator="greaterThanOrEqual">
      <formula>0</formula>
    </cfRule>
  </conditionalFormatting>
  <conditionalFormatting sqref="F99">
    <cfRule type="cellIs" dxfId="5" priority="291" operator="lessThan">
      <formula>-4100</formula>
    </cfRule>
  </conditionalFormatting>
  <conditionalFormatting sqref="F99">
    <cfRule type="cellIs" dxfId="6" priority="292" operator="greaterThanOrEqual">
      <formula>0</formula>
    </cfRule>
  </conditionalFormatting>
  <conditionalFormatting sqref="F99">
    <cfRule type="cellIs" dxfId="5" priority="293" operator="lessThan">
      <formula>-4100</formula>
    </cfRule>
  </conditionalFormatting>
  <conditionalFormatting sqref="F99">
    <cfRule type="cellIs" dxfId="6" priority="294" operator="greaterThanOrEqual">
      <formula>0</formula>
    </cfRule>
  </conditionalFormatting>
  <conditionalFormatting sqref="F99">
    <cfRule type="cellIs" dxfId="5" priority="295" operator="lessThan">
      <formula>-4100</formula>
    </cfRule>
  </conditionalFormatting>
  <conditionalFormatting sqref="F170">
    <cfRule type="cellIs" dxfId="5" priority="296" operator="lessThan">
      <formula>-4100</formula>
    </cfRule>
  </conditionalFormatting>
  <conditionalFormatting sqref="F170">
    <cfRule type="cellIs" dxfId="6" priority="297" operator="greaterThanOrEqual">
      <formula>0</formula>
    </cfRule>
  </conditionalFormatting>
  <conditionalFormatting sqref="F170">
    <cfRule type="cellIs" dxfId="6" priority="298" operator="greaterThanOrEqual">
      <formula>0</formula>
    </cfRule>
  </conditionalFormatting>
  <conditionalFormatting sqref="F170">
    <cfRule type="cellIs" dxfId="5" priority="299" operator="lessThan">
      <formula>-4100</formula>
    </cfRule>
  </conditionalFormatting>
  <conditionalFormatting sqref="F170">
    <cfRule type="cellIs" dxfId="6" priority="300" operator="greaterThanOrEqual">
      <formula>0</formula>
    </cfRule>
  </conditionalFormatting>
  <conditionalFormatting sqref="F170">
    <cfRule type="cellIs" dxfId="5" priority="301" operator="lessThan">
      <formula>-4100</formula>
    </cfRule>
  </conditionalFormatting>
  <conditionalFormatting sqref="F170">
    <cfRule type="cellIs" dxfId="6" priority="302" operator="greaterThanOrEqual">
      <formula>0</formula>
    </cfRule>
  </conditionalFormatting>
  <conditionalFormatting sqref="F170">
    <cfRule type="cellIs" dxfId="5" priority="303" operator="lessThan">
      <formula>-4100</formula>
    </cfRule>
  </conditionalFormatting>
  <conditionalFormatting sqref="F170">
    <cfRule type="cellIs" dxfId="6" priority="304" operator="greaterThanOrEqual">
      <formula>0</formula>
    </cfRule>
  </conditionalFormatting>
  <conditionalFormatting sqref="F170">
    <cfRule type="cellIs" dxfId="5" priority="305" operator="lessThan">
      <formula>-4100</formula>
    </cfRule>
  </conditionalFormatting>
  <conditionalFormatting sqref="F170">
    <cfRule type="cellIs" dxfId="5" priority="306" operator="lessThan">
      <formula>-4100</formula>
    </cfRule>
  </conditionalFormatting>
  <conditionalFormatting sqref="F170">
    <cfRule type="cellIs" dxfId="6" priority="307" operator="greaterThanOrEqual">
      <formula>0</formula>
    </cfRule>
  </conditionalFormatting>
  <conditionalFormatting sqref="F170">
    <cfRule type="cellIs" dxfId="6" priority="308" operator="greaterThanOrEqual">
      <formula>0</formula>
    </cfRule>
  </conditionalFormatting>
  <conditionalFormatting sqref="F170">
    <cfRule type="cellIs" dxfId="5" priority="309" operator="lessThan">
      <formula>-4100</formula>
    </cfRule>
  </conditionalFormatting>
  <conditionalFormatting sqref="F170">
    <cfRule type="cellIs" dxfId="6" priority="310" operator="greaterThanOrEqual">
      <formula>0</formula>
    </cfRule>
  </conditionalFormatting>
  <conditionalFormatting sqref="F170">
    <cfRule type="cellIs" dxfId="5" priority="311" operator="lessThan">
      <formula>-4100</formula>
    </cfRule>
  </conditionalFormatting>
  <conditionalFormatting sqref="E170">
    <cfRule type="cellIs" dxfId="4" priority="312" operator="greaterThan">
      <formula>0</formula>
    </cfRule>
  </conditionalFormatting>
  <conditionalFormatting sqref="F89">
    <cfRule type="cellIs" dxfId="5" priority="313" operator="lessThan">
      <formula>-4100</formula>
    </cfRule>
  </conditionalFormatting>
  <conditionalFormatting sqref="F89">
    <cfRule type="cellIs" dxfId="6" priority="314" operator="greaterThanOrEqual">
      <formula>0</formula>
    </cfRule>
  </conditionalFormatting>
  <conditionalFormatting sqref="F89">
    <cfRule type="cellIs" dxfId="6" priority="315" operator="greaterThanOrEqual">
      <formula>0</formula>
    </cfRule>
  </conditionalFormatting>
  <conditionalFormatting sqref="F89">
    <cfRule type="cellIs" dxfId="5" priority="316" operator="lessThan">
      <formula>-4100</formula>
    </cfRule>
  </conditionalFormatting>
  <conditionalFormatting sqref="F89">
    <cfRule type="cellIs" dxfId="6" priority="317" operator="greaterThanOrEqual">
      <formula>0</formula>
    </cfRule>
  </conditionalFormatting>
  <conditionalFormatting sqref="F89">
    <cfRule type="cellIs" dxfId="5" priority="318" operator="lessThan">
      <formula>-4100</formula>
    </cfRule>
  </conditionalFormatting>
  <conditionalFormatting sqref="F89">
    <cfRule type="cellIs" dxfId="5" priority="319" operator="lessThan">
      <formula>-4100</formula>
    </cfRule>
  </conditionalFormatting>
  <conditionalFormatting sqref="F89">
    <cfRule type="cellIs" dxfId="6" priority="320" operator="greaterThanOrEqual">
      <formula>0</formula>
    </cfRule>
  </conditionalFormatting>
  <conditionalFormatting sqref="F89">
    <cfRule type="cellIs" dxfId="6" priority="321" operator="greaterThanOrEqual">
      <formula>0</formula>
    </cfRule>
  </conditionalFormatting>
  <conditionalFormatting sqref="F89">
    <cfRule type="cellIs" dxfId="5" priority="322" operator="lessThan">
      <formula>-4100</formula>
    </cfRule>
  </conditionalFormatting>
  <conditionalFormatting sqref="F89">
    <cfRule type="cellIs" dxfId="6" priority="323" operator="greaterThanOrEqual">
      <formula>0</formula>
    </cfRule>
  </conditionalFormatting>
  <conditionalFormatting sqref="F89">
    <cfRule type="cellIs" dxfId="5" priority="324" operator="lessThan">
      <formula>-4100</formula>
    </cfRule>
  </conditionalFormatting>
  <conditionalFormatting sqref="E85:E89">
    <cfRule type="cellIs" dxfId="4" priority="325" operator="greaterThan">
      <formula>0</formula>
    </cfRule>
  </conditionalFormatting>
  <conditionalFormatting sqref="F89">
    <cfRule type="cellIs" dxfId="6" priority="326" operator="greaterThanOrEqual">
      <formula>0</formula>
    </cfRule>
  </conditionalFormatting>
  <conditionalFormatting sqref="F89">
    <cfRule type="cellIs" dxfId="5" priority="327" operator="lessThan">
      <formula>-4100</formula>
    </cfRule>
  </conditionalFormatting>
  <conditionalFormatting sqref="F89">
    <cfRule type="cellIs" dxfId="6" priority="328" operator="greaterThanOrEqual">
      <formula>0</formula>
    </cfRule>
  </conditionalFormatting>
  <conditionalFormatting sqref="F89">
    <cfRule type="cellIs" dxfId="5" priority="329" operator="lessThan">
      <formula>-4100</formula>
    </cfRule>
  </conditionalFormatting>
  <conditionalFormatting sqref="F54">
    <cfRule type="cellIs" dxfId="5" priority="330" operator="lessThan">
      <formula>-4100</formula>
    </cfRule>
  </conditionalFormatting>
  <conditionalFormatting sqref="F54">
    <cfRule type="cellIs" dxfId="6" priority="331" operator="greaterThanOrEqual">
      <formula>0</formula>
    </cfRule>
  </conditionalFormatting>
  <conditionalFormatting sqref="F54">
    <cfRule type="cellIs" dxfId="6" priority="332" operator="greaterThanOrEqual">
      <formula>0</formula>
    </cfRule>
  </conditionalFormatting>
  <conditionalFormatting sqref="F54">
    <cfRule type="cellIs" dxfId="5" priority="333" operator="lessThan">
      <formula>-4100</formula>
    </cfRule>
  </conditionalFormatting>
  <conditionalFormatting sqref="F54">
    <cfRule type="cellIs" dxfId="6" priority="334" operator="greaterThanOrEqual">
      <formula>0</formula>
    </cfRule>
  </conditionalFormatting>
  <conditionalFormatting sqref="F54">
    <cfRule type="cellIs" dxfId="5" priority="335" operator="lessThan">
      <formula>-4100</formula>
    </cfRule>
  </conditionalFormatting>
  <conditionalFormatting sqref="F54">
    <cfRule type="cellIs" dxfId="6" priority="336" operator="greaterThanOrEqual">
      <formula>0</formula>
    </cfRule>
  </conditionalFormatting>
  <conditionalFormatting sqref="F54">
    <cfRule type="cellIs" dxfId="5" priority="337" operator="lessThan">
      <formula>-4100</formula>
    </cfRule>
  </conditionalFormatting>
  <conditionalFormatting sqref="F54">
    <cfRule type="cellIs" dxfId="6" priority="338" operator="greaterThanOrEqual">
      <formula>0</formula>
    </cfRule>
  </conditionalFormatting>
  <conditionalFormatting sqref="F54">
    <cfRule type="cellIs" dxfId="5" priority="339" operator="lessThan">
      <formula>-4100</formula>
    </cfRule>
  </conditionalFormatting>
  <conditionalFormatting sqref="F54">
    <cfRule type="cellIs" dxfId="5" priority="340" operator="lessThan">
      <formula>-4100</formula>
    </cfRule>
  </conditionalFormatting>
  <conditionalFormatting sqref="F54">
    <cfRule type="cellIs" dxfId="6" priority="341" operator="greaterThanOrEqual">
      <formula>0</formula>
    </cfRule>
  </conditionalFormatting>
  <conditionalFormatting sqref="F54">
    <cfRule type="cellIs" dxfId="6" priority="342" operator="greaterThanOrEqual">
      <formula>0</formula>
    </cfRule>
  </conditionalFormatting>
  <conditionalFormatting sqref="F54">
    <cfRule type="cellIs" dxfId="5" priority="343" operator="lessThan">
      <formula>-4100</formula>
    </cfRule>
  </conditionalFormatting>
  <conditionalFormatting sqref="F54">
    <cfRule type="cellIs" dxfId="6" priority="344" operator="greaterThanOrEqual">
      <formula>0</formula>
    </cfRule>
  </conditionalFormatting>
  <conditionalFormatting sqref="F54">
    <cfRule type="cellIs" dxfId="5" priority="345" operator="lessThan">
      <formula>-4100</formula>
    </cfRule>
  </conditionalFormatting>
  <conditionalFormatting sqref="E54">
    <cfRule type="cellIs" dxfId="4" priority="346" operator="greaterThan">
      <formula>0</formula>
    </cfRule>
  </conditionalFormatting>
  <conditionalFormatting sqref="F119">
    <cfRule type="cellIs" dxfId="5" priority="347" operator="lessThan">
      <formula>-4100</formula>
    </cfRule>
  </conditionalFormatting>
  <conditionalFormatting sqref="F119">
    <cfRule type="cellIs" dxfId="6" priority="348" operator="greaterThanOrEqual">
      <formula>0</formula>
    </cfRule>
  </conditionalFormatting>
  <conditionalFormatting sqref="F119">
    <cfRule type="cellIs" dxfId="6" priority="349" operator="greaterThanOrEqual">
      <formula>0</formula>
    </cfRule>
  </conditionalFormatting>
  <conditionalFormatting sqref="F119">
    <cfRule type="cellIs" dxfId="5" priority="350" operator="lessThan">
      <formula>-4100</formula>
    </cfRule>
  </conditionalFormatting>
  <conditionalFormatting sqref="F119">
    <cfRule type="cellIs" dxfId="6" priority="351" operator="greaterThanOrEqual">
      <formula>0</formula>
    </cfRule>
  </conditionalFormatting>
  <conditionalFormatting sqref="F119">
    <cfRule type="cellIs" dxfId="5" priority="352" operator="lessThan">
      <formula>-4100</formula>
    </cfRule>
  </conditionalFormatting>
  <conditionalFormatting sqref="F119">
    <cfRule type="cellIs" dxfId="6" priority="353" operator="greaterThanOrEqual">
      <formula>0</formula>
    </cfRule>
  </conditionalFormatting>
  <conditionalFormatting sqref="F119">
    <cfRule type="cellIs" dxfId="5" priority="354" operator="lessThan">
      <formula>-4100</formula>
    </cfRule>
  </conditionalFormatting>
  <conditionalFormatting sqref="F119">
    <cfRule type="cellIs" dxfId="6" priority="355" operator="greaterThanOrEqual">
      <formula>0</formula>
    </cfRule>
  </conditionalFormatting>
  <conditionalFormatting sqref="F119">
    <cfRule type="cellIs" dxfId="5" priority="356" operator="lessThan">
      <formula>-4100</formula>
    </cfRule>
  </conditionalFormatting>
  <conditionalFormatting sqref="F119">
    <cfRule type="cellIs" dxfId="5" priority="357" operator="lessThan">
      <formula>-4100</formula>
    </cfRule>
  </conditionalFormatting>
  <conditionalFormatting sqref="F119">
    <cfRule type="cellIs" dxfId="6" priority="358" operator="greaterThanOrEqual">
      <formula>0</formula>
    </cfRule>
  </conditionalFormatting>
  <conditionalFormatting sqref="F119">
    <cfRule type="cellIs" dxfId="6" priority="359" operator="greaterThanOrEqual">
      <formula>0</formula>
    </cfRule>
  </conditionalFormatting>
  <conditionalFormatting sqref="F119">
    <cfRule type="cellIs" dxfId="5" priority="360" operator="lessThan">
      <formula>-4100</formula>
    </cfRule>
  </conditionalFormatting>
  <conditionalFormatting sqref="F119">
    <cfRule type="cellIs" dxfId="6" priority="361" operator="greaterThanOrEqual">
      <formula>0</formula>
    </cfRule>
  </conditionalFormatting>
  <conditionalFormatting sqref="F119">
    <cfRule type="cellIs" dxfId="5" priority="362" operator="lessThan">
      <formula>-4100</formula>
    </cfRule>
  </conditionalFormatting>
  <conditionalFormatting sqref="E119">
    <cfRule type="cellIs" dxfId="4" priority="363" operator="greaterThan">
      <formula>0</formula>
    </cfRule>
  </conditionalFormatting>
  <conditionalFormatting sqref="F124">
    <cfRule type="cellIs" dxfId="5" priority="364" operator="lessThan">
      <formula>-4100</formula>
    </cfRule>
  </conditionalFormatting>
  <conditionalFormatting sqref="F124">
    <cfRule type="cellIs" dxfId="6" priority="365" operator="greaterThanOrEqual">
      <formula>0</formula>
    </cfRule>
  </conditionalFormatting>
  <conditionalFormatting sqref="F124">
    <cfRule type="cellIs" dxfId="6" priority="366" operator="greaterThanOrEqual">
      <formula>0</formula>
    </cfRule>
  </conditionalFormatting>
  <conditionalFormatting sqref="F124">
    <cfRule type="cellIs" dxfId="5" priority="367" operator="lessThan">
      <formula>-4100</formula>
    </cfRule>
  </conditionalFormatting>
  <conditionalFormatting sqref="F124">
    <cfRule type="cellIs" dxfId="6" priority="368" operator="greaterThanOrEqual">
      <formula>0</formula>
    </cfRule>
  </conditionalFormatting>
  <conditionalFormatting sqref="F124">
    <cfRule type="cellIs" dxfId="5" priority="369" operator="lessThan">
      <formula>-4100</formula>
    </cfRule>
  </conditionalFormatting>
  <conditionalFormatting sqref="F124">
    <cfRule type="cellIs" dxfId="6" priority="370" operator="greaterThanOrEqual">
      <formula>0</formula>
    </cfRule>
  </conditionalFormatting>
  <conditionalFormatting sqref="F124">
    <cfRule type="cellIs" dxfId="5" priority="371" operator="lessThan">
      <formula>-4100</formula>
    </cfRule>
  </conditionalFormatting>
  <conditionalFormatting sqref="F124">
    <cfRule type="cellIs" dxfId="6" priority="372" operator="greaterThanOrEqual">
      <formula>0</formula>
    </cfRule>
  </conditionalFormatting>
  <conditionalFormatting sqref="F124">
    <cfRule type="cellIs" dxfId="5" priority="373" operator="lessThan">
      <formula>-4100</formula>
    </cfRule>
  </conditionalFormatting>
  <conditionalFormatting sqref="F124">
    <cfRule type="cellIs" dxfId="5" priority="374" operator="lessThan">
      <formula>-4100</formula>
    </cfRule>
  </conditionalFormatting>
  <conditionalFormatting sqref="F124">
    <cfRule type="cellIs" dxfId="6" priority="375" operator="greaterThanOrEqual">
      <formula>0</formula>
    </cfRule>
  </conditionalFormatting>
  <conditionalFormatting sqref="F124">
    <cfRule type="cellIs" dxfId="6" priority="376" operator="greaterThanOrEqual">
      <formula>0</formula>
    </cfRule>
  </conditionalFormatting>
  <conditionalFormatting sqref="F124">
    <cfRule type="cellIs" dxfId="5" priority="377" operator="lessThan">
      <formula>-4100</formula>
    </cfRule>
  </conditionalFormatting>
  <conditionalFormatting sqref="F124">
    <cfRule type="cellIs" dxfId="6" priority="378" operator="greaterThanOrEqual">
      <formula>0</formula>
    </cfRule>
  </conditionalFormatting>
  <conditionalFormatting sqref="F124">
    <cfRule type="cellIs" dxfId="5" priority="379" operator="lessThan">
      <formula>-4100</formula>
    </cfRule>
  </conditionalFormatting>
  <conditionalFormatting sqref="E124">
    <cfRule type="cellIs" dxfId="4" priority="380" operator="greaterThan">
      <formula>0</formula>
    </cfRule>
  </conditionalFormatting>
  <conditionalFormatting sqref="F129">
    <cfRule type="cellIs" dxfId="5" priority="381" operator="lessThan">
      <formula>-4100</formula>
    </cfRule>
  </conditionalFormatting>
  <conditionalFormatting sqref="F129">
    <cfRule type="cellIs" dxfId="6" priority="382" operator="greaterThanOrEqual">
      <formula>0</formula>
    </cfRule>
  </conditionalFormatting>
  <conditionalFormatting sqref="F129">
    <cfRule type="cellIs" dxfId="6" priority="383" operator="greaterThanOrEqual">
      <formula>0</formula>
    </cfRule>
  </conditionalFormatting>
  <conditionalFormatting sqref="F129">
    <cfRule type="cellIs" dxfId="5" priority="384" operator="lessThan">
      <formula>-4100</formula>
    </cfRule>
  </conditionalFormatting>
  <conditionalFormatting sqref="F129">
    <cfRule type="cellIs" dxfId="6" priority="385" operator="greaterThanOrEqual">
      <formula>0</formula>
    </cfRule>
  </conditionalFormatting>
  <conditionalFormatting sqref="F129">
    <cfRule type="cellIs" dxfId="5" priority="386" operator="lessThan">
      <formula>-4100</formula>
    </cfRule>
  </conditionalFormatting>
  <conditionalFormatting sqref="F129">
    <cfRule type="cellIs" dxfId="6" priority="387" operator="greaterThanOrEqual">
      <formula>0</formula>
    </cfRule>
  </conditionalFormatting>
  <conditionalFormatting sqref="F129">
    <cfRule type="cellIs" dxfId="5" priority="388" operator="lessThan">
      <formula>-4100</formula>
    </cfRule>
  </conditionalFormatting>
  <conditionalFormatting sqref="F129">
    <cfRule type="cellIs" dxfId="6" priority="389" operator="greaterThanOrEqual">
      <formula>0</formula>
    </cfRule>
  </conditionalFormatting>
  <conditionalFormatting sqref="F129">
    <cfRule type="cellIs" dxfId="5" priority="390" operator="lessThan">
      <formula>-4100</formula>
    </cfRule>
  </conditionalFormatting>
  <conditionalFormatting sqref="F129">
    <cfRule type="cellIs" dxfId="5" priority="391" operator="lessThan">
      <formula>-4100</formula>
    </cfRule>
  </conditionalFormatting>
  <conditionalFormatting sqref="F129">
    <cfRule type="cellIs" dxfId="6" priority="392" operator="greaterThanOrEqual">
      <formula>0</formula>
    </cfRule>
  </conditionalFormatting>
  <conditionalFormatting sqref="F129">
    <cfRule type="cellIs" dxfId="6" priority="393" operator="greaterThanOrEqual">
      <formula>0</formula>
    </cfRule>
  </conditionalFormatting>
  <conditionalFormatting sqref="F129">
    <cfRule type="cellIs" dxfId="5" priority="394" operator="lessThan">
      <formula>-4100</formula>
    </cfRule>
  </conditionalFormatting>
  <conditionalFormatting sqref="F129">
    <cfRule type="cellIs" dxfId="6" priority="395" operator="greaterThanOrEqual">
      <formula>0</formula>
    </cfRule>
  </conditionalFormatting>
  <conditionalFormatting sqref="F129">
    <cfRule type="cellIs" dxfId="5" priority="396" operator="lessThan">
      <formula>-4100</formula>
    </cfRule>
  </conditionalFormatting>
  <conditionalFormatting sqref="E129">
    <cfRule type="cellIs" dxfId="4" priority="397" operator="greaterThan">
      <formula>0</formula>
    </cfRule>
  </conditionalFormatting>
  <conditionalFormatting sqref="H15">
    <cfRule type="expression" dxfId="0" priority="398">
      <formula>H15&lt;($D$3-6%)</formula>
    </cfRule>
  </conditionalFormatting>
  <conditionalFormatting sqref="H15">
    <cfRule type="expression" dxfId="1" priority="399">
      <formula>H15&gt;($D$3+6%)</formula>
    </cfRule>
  </conditionalFormatting>
  <conditionalFormatting sqref="H15">
    <cfRule type="expression" dxfId="2" priority="400">
      <formula>H15&lt;($D$3-3%)</formula>
    </cfRule>
  </conditionalFormatting>
  <conditionalFormatting sqref="H15">
    <cfRule type="expression" dxfId="3" priority="401">
      <formula>H15&gt;($D$3+3%)</formula>
    </cfRule>
  </conditionalFormatting>
  <conditionalFormatting sqref="H16">
    <cfRule type="expression" dxfId="0" priority="402">
      <formula>H16&lt;($D$3-6%)</formula>
    </cfRule>
  </conditionalFormatting>
  <conditionalFormatting sqref="H16">
    <cfRule type="expression" dxfId="1" priority="403">
      <formula>H16&gt;($D$3+6%)</formula>
    </cfRule>
  </conditionalFormatting>
  <conditionalFormatting sqref="H16">
    <cfRule type="expression" dxfId="2" priority="404">
      <formula>H16&lt;($D$3-3%)</formula>
    </cfRule>
  </conditionalFormatting>
  <conditionalFormatting sqref="H16">
    <cfRule type="expression" dxfId="3" priority="405">
      <formula>H16&gt;($D$3+3%)</formula>
    </cfRule>
  </conditionalFormatting>
  <conditionalFormatting sqref="F19">
    <cfRule type="cellIs" dxfId="5" priority="406" operator="lessThan">
      <formula>-4100</formula>
    </cfRule>
  </conditionalFormatting>
  <conditionalFormatting sqref="F19">
    <cfRule type="cellIs" dxfId="6" priority="407" operator="greaterThanOrEqual">
      <formula>0</formula>
    </cfRule>
  </conditionalFormatting>
  <conditionalFormatting sqref="F19">
    <cfRule type="cellIs" dxfId="6" priority="408" operator="greaterThanOrEqual">
      <formula>0</formula>
    </cfRule>
  </conditionalFormatting>
  <conditionalFormatting sqref="F19">
    <cfRule type="cellIs" dxfId="5" priority="409" operator="lessThan">
      <formula>-4100</formula>
    </cfRule>
  </conditionalFormatting>
  <conditionalFormatting sqref="F19">
    <cfRule type="cellIs" dxfId="6" priority="410" operator="greaterThanOrEqual">
      <formula>0</formula>
    </cfRule>
  </conditionalFormatting>
  <conditionalFormatting sqref="F19">
    <cfRule type="cellIs" dxfId="5" priority="411" operator="lessThan">
      <formula>-4100</formula>
    </cfRule>
  </conditionalFormatting>
  <conditionalFormatting sqref="F19">
    <cfRule type="cellIs" dxfId="6" priority="412" operator="greaterThanOrEqual">
      <formula>0</formula>
    </cfRule>
  </conditionalFormatting>
  <conditionalFormatting sqref="F19">
    <cfRule type="cellIs" dxfId="5" priority="413" operator="lessThan">
      <formula>-4100</formula>
    </cfRule>
  </conditionalFormatting>
  <conditionalFormatting sqref="F19">
    <cfRule type="cellIs" dxfId="6" priority="414" operator="greaterThanOrEqual">
      <formula>0</formula>
    </cfRule>
  </conditionalFormatting>
  <conditionalFormatting sqref="F19">
    <cfRule type="cellIs" dxfId="5" priority="415" operator="lessThan">
      <formula>-4100</formula>
    </cfRule>
  </conditionalFormatting>
  <conditionalFormatting sqref="F19">
    <cfRule type="cellIs" dxfId="5" priority="416" operator="lessThan">
      <formula>-4100</formula>
    </cfRule>
  </conditionalFormatting>
  <conditionalFormatting sqref="F19">
    <cfRule type="cellIs" dxfId="6" priority="417" operator="greaterThanOrEqual">
      <formula>0</formula>
    </cfRule>
  </conditionalFormatting>
  <conditionalFormatting sqref="F19">
    <cfRule type="cellIs" dxfId="6" priority="418" operator="greaterThanOrEqual">
      <formula>0</formula>
    </cfRule>
  </conditionalFormatting>
  <conditionalFormatting sqref="F19">
    <cfRule type="cellIs" dxfId="5" priority="419" operator="lessThan">
      <formula>-4100</formula>
    </cfRule>
  </conditionalFormatting>
  <conditionalFormatting sqref="F19">
    <cfRule type="cellIs" dxfId="6" priority="420" operator="greaterThanOrEqual">
      <formula>0</formula>
    </cfRule>
  </conditionalFormatting>
  <conditionalFormatting sqref="F19">
    <cfRule type="cellIs" dxfId="5" priority="421" operator="lessThan">
      <formula>-4100</formula>
    </cfRule>
  </conditionalFormatting>
  <conditionalFormatting sqref="E19">
    <cfRule type="cellIs" dxfId="4" priority="422" operator="greaterThan">
      <formula>0</formula>
    </cfRule>
  </conditionalFormatting>
  <conditionalFormatting sqref="F200">
    <cfRule type="cellIs" dxfId="5" priority="423" operator="lessThan">
      <formula>-4100</formula>
    </cfRule>
  </conditionalFormatting>
  <conditionalFormatting sqref="F200">
    <cfRule type="cellIs" dxfId="6" priority="424" operator="greaterThanOrEqual">
      <formula>0</formula>
    </cfRule>
  </conditionalFormatting>
  <conditionalFormatting sqref="F200">
    <cfRule type="cellIs" dxfId="6" priority="425" operator="greaterThanOrEqual">
      <formula>0</formula>
    </cfRule>
  </conditionalFormatting>
  <conditionalFormatting sqref="F200">
    <cfRule type="cellIs" dxfId="5" priority="426" operator="lessThan">
      <formula>-4100</formula>
    </cfRule>
  </conditionalFormatting>
  <conditionalFormatting sqref="F200">
    <cfRule type="cellIs" dxfId="6" priority="427" operator="greaterThanOrEqual">
      <formula>0</formula>
    </cfRule>
  </conditionalFormatting>
  <conditionalFormatting sqref="F200">
    <cfRule type="cellIs" dxfId="5" priority="428" operator="lessThan">
      <formula>-4100</formula>
    </cfRule>
  </conditionalFormatting>
  <conditionalFormatting sqref="F200">
    <cfRule type="cellIs" dxfId="6" priority="429" operator="greaterThanOrEqual">
      <formula>0</formula>
    </cfRule>
  </conditionalFormatting>
  <conditionalFormatting sqref="F200">
    <cfRule type="cellIs" dxfId="5" priority="430" operator="lessThan">
      <formula>-4100</formula>
    </cfRule>
  </conditionalFormatting>
  <conditionalFormatting sqref="E200">
    <cfRule type="cellIs" dxfId="4" priority="431" operator="greaterThan">
      <formula>0</formula>
    </cfRule>
  </conditionalFormatting>
  <conditionalFormatting sqref="F44">
    <cfRule type="cellIs" dxfId="5" priority="432" operator="lessThan">
      <formula>-4100</formula>
    </cfRule>
  </conditionalFormatting>
  <conditionalFormatting sqref="F44">
    <cfRule type="cellIs" dxfId="6" priority="433" operator="greaterThanOrEqual">
      <formula>0</formula>
    </cfRule>
  </conditionalFormatting>
  <conditionalFormatting sqref="F44">
    <cfRule type="cellIs" dxfId="6" priority="434" operator="greaterThanOrEqual">
      <formula>0</formula>
    </cfRule>
  </conditionalFormatting>
  <conditionalFormatting sqref="F44">
    <cfRule type="cellIs" dxfId="5" priority="435" operator="lessThan">
      <formula>-4100</formula>
    </cfRule>
  </conditionalFormatting>
  <conditionalFormatting sqref="F44">
    <cfRule type="cellIs" dxfId="6" priority="436" operator="greaterThanOrEqual">
      <formula>0</formula>
    </cfRule>
  </conditionalFormatting>
  <conditionalFormatting sqref="F44">
    <cfRule type="cellIs" dxfId="5" priority="437" operator="lessThan">
      <formula>-4100</formula>
    </cfRule>
  </conditionalFormatting>
  <conditionalFormatting sqref="F44">
    <cfRule type="cellIs" dxfId="6" priority="438" operator="greaterThanOrEqual">
      <formula>0</formula>
    </cfRule>
  </conditionalFormatting>
  <conditionalFormatting sqref="F44">
    <cfRule type="cellIs" dxfId="5" priority="439" operator="lessThan">
      <formula>-4100</formula>
    </cfRule>
  </conditionalFormatting>
  <conditionalFormatting sqref="F44">
    <cfRule type="cellIs" dxfId="6" priority="440" operator="greaterThanOrEqual">
      <formula>0</formula>
    </cfRule>
  </conditionalFormatting>
  <conditionalFormatting sqref="F44">
    <cfRule type="cellIs" dxfId="5" priority="441" operator="lessThan">
      <formula>-4100</formula>
    </cfRule>
  </conditionalFormatting>
  <conditionalFormatting sqref="F44">
    <cfRule type="cellIs" dxfId="5" priority="442" operator="lessThan">
      <formula>-4100</formula>
    </cfRule>
  </conditionalFormatting>
  <conditionalFormatting sqref="F44">
    <cfRule type="cellIs" dxfId="6" priority="443" operator="greaterThanOrEqual">
      <formula>0</formula>
    </cfRule>
  </conditionalFormatting>
  <conditionalFormatting sqref="F44">
    <cfRule type="cellIs" dxfId="6" priority="444" operator="greaterThanOrEqual">
      <formula>0</formula>
    </cfRule>
  </conditionalFormatting>
  <conditionalFormatting sqref="F44">
    <cfRule type="cellIs" dxfId="5" priority="445" operator="lessThan">
      <formula>-4100</formula>
    </cfRule>
  </conditionalFormatting>
  <conditionalFormatting sqref="F44">
    <cfRule type="cellIs" dxfId="6" priority="446" operator="greaterThanOrEqual">
      <formula>0</formula>
    </cfRule>
  </conditionalFormatting>
  <conditionalFormatting sqref="F44">
    <cfRule type="cellIs" dxfId="5" priority="447" operator="lessThan">
      <formula>-4100</formula>
    </cfRule>
  </conditionalFormatting>
  <conditionalFormatting sqref="E44">
    <cfRule type="cellIs" dxfId="4" priority="448" operator="greaterThan">
      <formula>0</formula>
    </cfRule>
  </conditionalFormatting>
  <conditionalFormatting sqref="F104">
    <cfRule type="cellIs" dxfId="6" priority="449" operator="greaterThanOrEqual">
      <formula>0</formula>
    </cfRule>
  </conditionalFormatting>
  <conditionalFormatting sqref="F104">
    <cfRule type="cellIs" dxfId="5" priority="450" operator="lessThan">
      <formula>-4100</formula>
    </cfRule>
  </conditionalFormatting>
  <conditionalFormatting sqref="F104">
    <cfRule type="cellIs" dxfId="6" priority="451" operator="greaterThanOrEqual">
      <formula>0</formula>
    </cfRule>
  </conditionalFormatting>
  <conditionalFormatting sqref="F104">
    <cfRule type="cellIs" dxfId="5" priority="452" operator="lessThan">
      <formula>-4100</formula>
    </cfRule>
  </conditionalFormatting>
  <conditionalFormatting sqref="E104">
    <cfRule type="cellIs" dxfId="4" priority="453" operator="greaterThan">
      <formula>0</formula>
    </cfRule>
  </conditionalFormatting>
  <conditionalFormatting sqref="F104">
    <cfRule type="cellIs" dxfId="6" priority="454" operator="greaterThanOrEqual">
      <formula>0</formula>
    </cfRule>
  </conditionalFormatting>
  <conditionalFormatting sqref="F104">
    <cfRule type="cellIs" dxfId="5" priority="455" operator="lessThan">
      <formula>-4100</formula>
    </cfRule>
  </conditionalFormatting>
  <conditionalFormatting sqref="F104">
    <cfRule type="cellIs" dxfId="6" priority="456" operator="greaterThanOrEqual">
      <formula>0</formula>
    </cfRule>
  </conditionalFormatting>
  <conditionalFormatting sqref="F104">
    <cfRule type="cellIs" dxfId="5" priority="457" operator="lessThan">
      <formula>-4100</formula>
    </cfRule>
  </conditionalFormatting>
  <conditionalFormatting sqref="F104">
    <cfRule type="cellIs" dxfId="6" priority="458" operator="greaterThanOrEqual">
      <formula>0</formula>
    </cfRule>
  </conditionalFormatting>
  <conditionalFormatting sqref="F104">
    <cfRule type="cellIs" dxfId="5" priority="459" operator="lessThan">
      <formula>-4100</formula>
    </cfRule>
  </conditionalFormatting>
  <conditionalFormatting sqref="F104">
    <cfRule type="cellIs" dxfId="6" priority="460" operator="greaterThanOrEqual">
      <formula>0</formula>
    </cfRule>
  </conditionalFormatting>
  <conditionalFormatting sqref="F104">
    <cfRule type="cellIs" dxfId="5" priority="461" operator="lessThan">
      <formula>-4100</formula>
    </cfRule>
  </conditionalFormatting>
  <conditionalFormatting sqref="F104">
    <cfRule type="cellIs" dxfId="6" priority="462" operator="greaterThanOrEqual">
      <formula>0</formula>
    </cfRule>
  </conditionalFormatting>
  <conditionalFormatting sqref="F104">
    <cfRule type="cellIs" dxfId="5" priority="463" operator="lessThan">
      <formula>-4100</formula>
    </cfRule>
  </conditionalFormatting>
  <conditionalFormatting sqref="F104">
    <cfRule type="cellIs" dxfId="6" priority="464" operator="greaterThanOrEqual">
      <formula>0</formula>
    </cfRule>
  </conditionalFormatting>
  <conditionalFormatting sqref="F104">
    <cfRule type="cellIs" dxfId="5" priority="465" operator="lessThan">
      <formula>-4100</formula>
    </cfRule>
  </conditionalFormatting>
  <conditionalFormatting sqref="F205">
    <cfRule type="cellIs" dxfId="5" priority="466" operator="lessThan">
      <formula>-4100</formula>
    </cfRule>
  </conditionalFormatting>
  <conditionalFormatting sqref="F205">
    <cfRule type="cellIs" dxfId="6" priority="467" operator="greaterThanOrEqual">
      <formula>0</formula>
    </cfRule>
  </conditionalFormatting>
  <conditionalFormatting sqref="F205">
    <cfRule type="cellIs" dxfId="6" priority="468" operator="greaterThanOrEqual">
      <formula>0</formula>
    </cfRule>
  </conditionalFormatting>
  <conditionalFormatting sqref="F205">
    <cfRule type="cellIs" dxfId="5" priority="469" operator="lessThan">
      <formula>-4100</formula>
    </cfRule>
  </conditionalFormatting>
  <conditionalFormatting sqref="F205">
    <cfRule type="cellIs" dxfId="6" priority="470" operator="greaterThanOrEqual">
      <formula>0</formula>
    </cfRule>
  </conditionalFormatting>
  <conditionalFormatting sqref="F205">
    <cfRule type="cellIs" dxfId="5" priority="471" operator="lessThan">
      <formula>-4100</formula>
    </cfRule>
  </conditionalFormatting>
  <conditionalFormatting sqref="F205">
    <cfRule type="cellIs" dxfId="6" priority="472" operator="greaterThanOrEqual">
      <formula>0</formula>
    </cfRule>
  </conditionalFormatting>
  <conditionalFormatting sqref="F205">
    <cfRule type="cellIs" dxfId="5" priority="473" operator="lessThan">
      <formula>-4100</formula>
    </cfRule>
  </conditionalFormatting>
  <conditionalFormatting sqref="E205">
    <cfRule type="cellIs" dxfId="4" priority="474" operator="greaterThan">
      <formula>0</formula>
    </cfRule>
  </conditionalFormatting>
  <conditionalFormatting sqref="F210">
    <cfRule type="cellIs" dxfId="5" priority="475" operator="lessThan">
      <formula>-4100</formula>
    </cfRule>
  </conditionalFormatting>
  <conditionalFormatting sqref="F210">
    <cfRule type="cellIs" dxfId="6" priority="476" operator="greaterThanOrEqual">
      <formula>0</formula>
    </cfRule>
  </conditionalFormatting>
  <conditionalFormatting sqref="F210">
    <cfRule type="cellIs" dxfId="6" priority="477" operator="greaterThanOrEqual">
      <formula>0</formula>
    </cfRule>
  </conditionalFormatting>
  <conditionalFormatting sqref="F210">
    <cfRule type="cellIs" dxfId="5" priority="478" operator="lessThan">
      <formula>-4100</formula>
    </cfRule>
  </conditionalFormatting>
  <conditionalFormatting sqref="F210">
    <cfRule type="cellIs" dxfId="6" priority="479" operator="greaterThanOrEqual">
      <formula>0</formula>
    </cfRule>
  </conditionalFormatting>
  <conditionalFormatting sqref="F210">
    <cfRule type="cellIs" dxfId="5" priority="480" operator="lessThan">
      <formula>-4100</formula>
    </cfRule>
  </conditionalFormatting>
  <conditionalFormatting sqref="F210">
    <cfRule type="cellIs" dxfId="6" priority="481" operator="greaterThanOrEqual">
      <formula>0</formula>
    </cfRule>
  </conditionalFormatting>
  <conditionalFormatting sqref="F210">
    <cfRule type="cellIs" dxfId="5" priority="482" operator="lessThan">
      <formula>-4100</formula>
    </cfRule>
  </conditionalFormatting>
  <conditionalFormatting sqref="E210">
    <cfRule type="cellIs" dxfId="4" priority="483" operator="greaterThan">
      <formula>0</formula>
    </cfRule>
  </conditionalFormatting>
  <conditionalFormatting sqref="F270">
    <cfRule type="cellIs" dxfId="6" priority="484" operator="greaterThanOrEqual">
      <formula>0</formula>
    </cfRule>
  </conditionalFormatting>
  <conditionalFormatting sqref="F270">
    <cfRule type="cellIs" dxfId="5" priority="485" operator="lessThan">
      <formula>-4100</formula>
    </cfRule>
  </conditionalFormatting>
  <conditionalFormatting sqref="F270">
    <cfRule type="cellIs" dxfId="6" priority="486" operator="greaterThanOrEqual">
      <formula>0</formula>
    </cfRule>
  </conditionalFormatting>
  <conditionalFormatting sqref="F270">
    <cfRule type="cellIs" dxfId="5" priority="487" operator="lessThan">
      <formula>-4100</formula>
    </cfRule>
  </conditionalFormatting>
  <conditionalFormatting sqref="F270">
    <cfRule type="cellIs" dxfId="6" priority="488" operator="greaterThanOrEqual">
      <formula>0</formula>
    </cfRule>
  </conditionalFormatting>
  <conditionalFormatting sqref="F270">
    <cfRule type="cellIs" dxfId="5" priority="489" operator="lessThan">
      <formula>-4100</formula>
    </cfRule>
  </conditionalFormatting>
  <conditionalFormatting sqref="F270">
    <cfRule type="cellIs" dxfId="6" priority="490" operator="greaterThanOrEqual">
      <formula>0</formula>
    </cfRule>
  </conditionalFormatting>
  <conditionalFormatting sqref="F270">
    <cfRule type="cellIs" dxfId="5" priority="491" operator="lessThan">
      <formula>-4100</formula>
    </cfRule>
  </conditionalFormatting>
  <conditionalFormatting sqref="F270">
    <cfRule type="cellIs" dxfId="6" priority="492" operator="greaterThanOrEqual">
      <formula>0</formula>
    </cfRule>
  </conditionalFormatting>
  <conditionalFormatting sqref="F270">
    <cfRule type="cellIs" dxfId="5" priority="493" operator="lessThan">
      <formula>-4100</formula>
    </cfRule>
  </conditionalFormatting>
  <conditionalFormatting sqref="F270">
    <cfRule type="cellIs" dxfId="6" priority="494" operator="greaterThanOrEqual">
      <formula>0</formula>
    </cfRule>
  </conditionalFormatting>
  <conditionalFormatting sqref="F270">
    <cfRule type="cellIs" dxfId="5" priority="495" operator="lessThan">
      <formula>-4100</formula>
    </cfRule>
  </conditionalFormatting>
  <conditionalFormatting sqref="F270">
    <cfRule type="cellIs" dxfId="6" priority="496" operator="greaterThanOrEqual">
      <formula>0</formula>
    </cfRule>
  </conditionalFormatting>
  <conditionalFormatting sqref="F270">
    <cfRule type="cellIs" dxfId="5" priority="497" operator="lessThan">
      <formula>-4100</formula>
    </cfRule>
  </conditionalFormatting>
  <conditionalFormatting sqref="F270">
    <cfRule type="cellIs" dxfId="6" priority="498" operator="greaterThanOrEqual">
      <formula>0</formula>
    </cfRule>
  </conditionalFormatting>
  <conditionalFormatting sqref="F270">
    <cfRule type="cellIs" dxfId="5" priority="499" operator="lessThan">
      <formula>-4100</formula>
    </cfRule>
  </conditionalFormatting>
  <conditionalFormatting sqref="E270">
    <cfRule type="cellIs" dxfId="4" priority="500" operator="greaterThan">
      <formula>0</formula>
    </cfRule>
  </conditionalFormatting>
  <conditionalFormatting sqref="F149">
    <cfRule type="cellIs" dxfId="5" priority="501" operator="lessThan">
      <formula>-4100</formula>
    </cfRule>
  </conditionalFormatting>
  <conditionalFormatting sqref="F149">
    <cfRule type="cellIs" dxfId="6" priority="502" operator="greaterThanOrEqual">
      <formula>0</formula>
    </cfRule>
  </conditionalFormatting>
  <conditionalFormatting sqref="F149">
    <cfRule type="cellIs" dxfId="6" priority="503" operator="greaterThanOrEqual">
      <formula>0</formula>
    </cfRule>
  </conditionalFormatting>
  <conditionalFormatting sqref="F149">
    <cfRule type="cellIs" dxfId="5" priority="504" operator="lessThan">
      <formula>-4100</formula>
    </cfRule>
  </conditionalFormatting>
  <conditionalFormatting sqref="F149">
    <cfRule type="cellIs" dxfId="6" priority="505" operator="greaterThanOrEqual">
      <formula>0</formula>
    </cfRule>
  </conditionalFormatting>
  <conditionalFormatting sqref="F149">
    <cfRule type="cellIs" dxfId="5" priority="506" operator="lessThan">
      <formula>-4100</formula>
    </cfRule>
  </conditionalFormatting>
  <conditionalFormatting sqref="F149">
    <cfRule type="cellIs" dxfId="6" priority="507" operator="greaterThanOrEqual">
      <formula>0</formula>
    </cfRule>
  </conditionalFormatting>
  <conditionalFormatting sqref="F149">
    <cfRule type="cellIs" dxfId="5" priority="508" operator="lessThan">
      <formula>-4100</formula>
    </cfRule>
  </conditionalFormatting>
  <conditionalFormatting sqref="F149">
    <cfRule type="cellIs" dxfId="6" priority="509" operator="greaterThanOrEqual">
      <formula>0</formula>
    </cfRule>
  </conditionalFormatting>
  <conditionalFormatting sqref="F149">
    <cfRule type="cellIs" dxfId="5" priority="510" operator="lessThan">
      <formula>-4100</formula>
    </cfRule>
  </conditionalFormatting>
  <conditionalFormatting sqref="F149">
    <cfRule type="cellIs" dxfId="5" priority="511" operator="lessThan">
      <formula>-4100</formula>
    </cfRule>
  </conditionalFormatting>
  <conditionalFormatting sqref="F149">
    <cfRule type="cellIs" dxfId="6" priority="512" operator="greaterThanOrEqual">
      <formula>0</formula>
    </cfRule>
  </conditionalFormatting>
  <conditionalFormatting sqref="F149">
    <cfRule type="cellIs" dxfId="6" priority="513" operator="greaterThanOrEqual">
      <formula>0</formula>
    </cfRule>
  </conditionalFormatting>
  <conditionalFormatting sqref="F149">
    <cfRule type="cellIs" dxfId="5" priority="514" operator="lessThan">
      <formula>-4100</formula>
    </cfRule>
  </conditionalFormatting>
  <conditionalFormatting sqref="F149">
    <cfRule type="cellIs" dxfId="6" priority="515" operator="greaterThanOrEqual">
      <formula>0</formula>
    </cfRule>
  </conditionalFormatting>
  <conditionalFormatting sqref="F149">
    <cfRule type="cellIs" dxfId="5" priority="516" operator="lessThan">
      <formula>-4100</formula>
    </cfRule>
  </conditionalFormatting>
  <conditionalFormatting sqref="E149">
    <cfRule type="cellIs" dxfId="4" priority="517" operator="greaterThan">
      <formula>0</formula>
    </cfRule>
  </conditionalFormatting>
  <conditionalFormatting sqref="F84">
    <cfRule type="cellIs" dxfId="5" priority="518" operator="lessThan">
      <formula>-4100</formula>
    </cfRule>
  </conditionalFormatting>
  <conditionalFormatting sqref="F84">
    <cfRule type="cellIs" dxfId="6" priority="519" operator="greaterThanOrEqual">
      <formula>0</formula>
    </cfRule>
  </conditionalFormatting>
  <conditionalFormatting sqref="F84">
    <cfRule type="cellIs" dxfId="6" priority="520" operator="greaterThanOrEqual">
      <formula>0</formula>
    </cfRule>
  </conditionalFormatting>
  <conditionalFormatting sqref="F84">
    <cfRule type="cellIs" dxfId="5" priority="521" operator="lessThan">
      <formula>-4100</formula>
    </cfRule>
  </conditionalFormatting>
  <conditionalFormatting sqref="F84">
    <cfRule type="cellIs" dxfId="6" priority="522" operator="greaterThanOrEqual">
      <formula>0</formula>
    </cfRule>
  </conditionalFormatting>
  <conditionalFormatting sqref="F84">
    <cfRule type="cellIs" dxfId="5" priority="523" operator="lessThan">
      <formula>-4100</formula>
    </cfRule>
  </conditionalFormatting>
  <conditionalFormatting sqref="F84">
    <cfRule type="cellIs" dxfId="6" priority="524" operator="greaterThanOrEqual">
      <formula>0</formula>
    </cfRule>
  </conditionalFormatting>
  <conditionalFormatting sqref="F84">
    <cfRule type="cellIs" dxfId="5" priority="525" operator="lessThan">
      <formula>-4100</formula>
    </cfRule>
  </conditionalFormatting>
  <conditionalFormatting sqref="F84">
    <cfRule type="cellIs" dxfId="6" priority="526" operator="greaterThanOrEqual">
      <formula>0</formula>
    </cfRule>
  </conditionalFormatting>
  <conditionalFormatting sqref="F84">
    <cfRule type="cellIs" dxfId="5" priority="527" operator="lessThan">
      <formula>-4100</formula>
    </cfRule>
  </conditionalFormatting>
  <conditionalFormatting sqref="F84">
    <cfRule type="cellIs" dxfId="5" priority="528" operator="lessThan">
      <formula>-4100</formula>
    </cfRule>
  </conditionalFormatting>
  <conditionalFormatting sqref="F84">
    <cfRule type="cellIs" dxfId="6" priority="529" operator="greaterThanOrEqual">
      <formula>0</formula>
    </cfRule>
  </conditionalFormatting>
  <conditionalFormatting sqref="F84">
    <cfRule type="cellIs" dxfId="6" priority="530" operator="greaterThanOrEqual">
      <formula>0</formula>
    </cfRule>
  </conditionalFormatting>
  <conditionalFormatting sqref="F84">
    <cfRule type="cellIs" dxfId="5" priority="531" operator="lessThan">
      <formula>-4100</formula>
    </cfRule>
  </conditionalFormatting>
  <conditionalFormatting sqref="F84">
    <cfRule type="cellIs" dxfId="6" priority="532" operator="greaterThanOrEqual">
      <formula>0</formula>
    </cfRule>
  </conditionalFormatting>
  <conditionalFormatting sqref="F84">
    <cfRule type="cellIs" dxfId="5" priority="533" operator="lessThan">
      <formula>-4100</formula>
    </cfRule>
  </conditionalFormatting>
  <conditionalFormatting sqref="E84">
    <cfRule type="cellIs" dxfId="4" priority="534" operator="greaterThan">
      <formula>0</formula>
    </cfRule>
  </conditionalFormatting>
  <conditionalFormatting sqref="F24">
    <cfRule type="cellIs" dxfId="5" priority="535" operator="lessThan">
      <formula>-4100</formula>
    </cfRule>
  </conditionalFormatting>
  <conditionalFormatting sqref="F24">
    <cfRule type="cellIs" dxfId="6" priority="536" operator="greaterThanOrEqual">
      <formula>0</formula>
    </cfRule>
  </conditionalFormatting>
  <conditionalFormatting sqref="F24">
    <cfRule type="cellIs" dxfId="6" priority="537" operator="greaterThanOrEqual">
      <formula>0</formula>
    </cfRule>
  </conditionalFormatting>
  <conditionalFormatting sqref="F24">
    <cfRule type="cellIs" dxfId="5" priority="538" operator="lessThan">
      <formula>-4100</formula>
    </cfRule>
  </conditionalFormatting>
  <conditionalFormatting sqref="F24">
    <cfRule type="cellIs" dxfId="6" priority="539" operator="greaterThanOrEqual">
      <formula>0</formula>
    </cfRule>
  </conditionalFormatting>
  <conditionalFormatting sqref="F24">
    <cfRule type="cellIs" dxfId="5" priority="540" operator="lessThan">
      <formula>-4100</formula>
    </cfRule>
  </conditionalFormatting>
  <conditionalFormatting sqref="F24">
    <cfRule type="cellIs" dxfId="6" priority="541" operator="greaterThanOrEqual">
      <formula>0</formula>
    </cfRule>
  </conditionalFormatting>
  <conditionalFormatting sqref="F24">
    <cfRule type="cellIs" dxfId="5" priority="542" operator="lessThan">
      <formula>-4100</formula>
    </cfRule>
  </conditionalFormatting>
  <conditionalFormatting sqref="F24">
    <cfRule type="cellIs" dxfId="6" priority="543" operator="greaterThanOrEqual">
      <formula>0</formula>
    </cfRule>
  </conditionalFormatting>
  <conditionalFormatting sqref="F24">
    <cfRule type="cellIs" dxfId="5" priority="544" operator="lessThan">
      <formula>-4100</formula>
    </cfRule>
  </conditionalFormatting>
  <conditionalFormatting sqref="F24">
    <cfRule type="cellIs" dxfId="5" priority="545" operator="lessThan">
      <formula>-4100</formula>
    </cfRule>
  </conditionalFormatting>
  <conditionalFormatting sqref="F24">
    <cfRule type="cellIs" dxfId="6" priority="546" operator="greaterThanOrEqual">
      <formula>0</formula>
    </cfRule>
  </conditionalFormatting>
  <conditionalFormatting sqref="F24">
    <cfRule type="cellIs" dxfId="6" priority="547" operator="greaterThanOrEqual">
      <formula>0</formula>
    </cfRule>
  </conditionalFormatting>
  <conditionalFormatting sqref="F24">
    <cfRule type="cellIs" dxfId="5" priority="548" operator="lessThan">
      <formula>-4100</formula>
    </cfRule>
  </conditionalFormatting>
  <conditionalFormatting sqref="F24">
    <cfRule type="cellIs" dxfId="6" priority="549" operator="greaterThanOrEqual">
      <formula>0</formula>
    </cfRule>
  </conditionalFormatting>
  <conditionalFormatting sqref="F24">
    <cfRule type="cellIs" dxfId="5" priority="550" operator="lessThan">
      <formula>-4100</formula>
    </cfRule>
  </conditionalFormatting>
  <conditionalFormatting sqref="E24">
    <cfRule type="cellIs" dxfId="4" priority="551" operator="greaterThan">
      <formula>0</formula>
    </cfRule>
  </conditionalFormatting>
  <conditionalFormatting sqref="F39">
    <cfRule type="cellIs" dxfId="5" priority="552" operator="lessThan">
      <formula>-4100</formula>
    </cfRule>
  </conditionalFormatting>
  <conditionalFormatting sqref="F39">
    <cfRule type="cellIs" dxfId="6" priority="553" operator="greaterThanOrEqual">
      <formula>0</formula>
    </cfRule>
  </conditionalFormatting>
  <conditionalFormatting sqref="F39">
    <cfRule type="cellIs" dxfId="6" priority="554" operator="greaterThanOrEqual">
      <formula>0</formula>
    </cfRule>
  </conditionalFormatting>
  <conditionalFormatting sqref="F39">
    <cfRule type="cellIs" dxfId="5" priority="555" operator="lessThan">
      <formula>-4100</formula>
    </cfRule>
  </conditionalFormatting>
  <conditionalFormatting sqref="F39">
    <cfRule type="cellIs" dxfId="6" priority="556" operator="greaterThanOrEqual">
      <formula>0</formula>
    </cfRule>
  </conditionalFormatting>
  <conditionalFormatting sqref="F39">
    <cfRule type="cellIs" dxfId="5" priority="557" operator="lessThan">
      <formula>-4100</formula>
    </cfRule>
  </conditionalFormatting>
  <conditionalFormatting sqref="F39">
    <cfRule type="cellIs" dxfId="6" priority="558" operator="greaterThanOrEqual">
      <formula>0</formula>
    </cfRule>
  </conditionalFormatting>
  <conditionalFormatting sqref="F39">
    <cfRule type="cellIs" dxfId="5" priority="559" operator="lessThan">
      <formula>-4100</formula>
    </cfRule>
  </conditionalFormatting>
  <conditionalFormatting sqref="F39">
    <cfRule type="cellIs" dxfId="6" priority="560" operator="greaterThanOrEqual">
      <formula>0</formula>
    </cfRule>
  </conditionalFormatting>
  <conditionalFormatting sqref="F39">
    <cfRule type="cellIs" dxfId="5" priority="561" operator="lessThan">
      <formula>-4100</formula>
    </cfRule>
  </conditionalFormatting>
  <conditionalFormatting sqref="F39">
    <cfRule type="cellIs" dxfId="5" priority="562" operator="lessThan">
      <formula>-4100</formula>
    </cfRule>
  </conditionalFormatting>
  <conditionalFormatting sqref="F39">
    <cfRule type="cellIs" dxfId="6" priority="563" operator="greaterThanOrEqual">
      <formula>0</formula>
    </cfRule>
  </conditionalFormatting>
  <conditionalFormatting sqref="F39">
    <cfRule type="cellIs" dxfId="6" priority="564" operator="greaterThanOrEqual">
      <formula>0</formula>
    </cfRule>
  </conditionalFormatting>
  <conditionalFormatting sqref="F39">
    <cfRule type="cellIs" dxfId="5" priority="565" operator="lessThan">
      <formula>-4100</formula>
    </cfRule>
  </conditionalFormatting>
  <conditionalFormatting sqref="F39">
    <cfRule type="cellIs" dxfId="6" priority="566" operator="greaterThanOrEqual">
      <formula>0</formula>
    </cfRule>
  </conditionalFormatting>
  <conditionalFormatting sqref="F39">
    <cfRule type="cellIs" dxfId="5" priority="567" operator="lessThan">
      <formula>-4100</formula>
    </cfRule>
  </conditionalFormatting>
  <conditionalFormatting sqref="E39">
    <cfRule type="cellIs" dxfId="4" priority="568" operator="greaterThan">
      <formula>0</formula>
    </cfRule>
  </conditionalFormatting>
  <conditionalFormatting sqref="F265">
    <cfRule type="cellIs" dxfId="6" priority="569" operator="greaterThanOrEqual">
      <formula>0</formula>
    </cfRule>
  </conditionalFormatting>
  <conditionalFormatting sqref="F265">
    <cfRule type="cellIs" dxfId="5" priority="570" operator="lessThan">
      <formula>-4100</formula>
    </cfRule>
  </conditionalFormatting>
  <conditionalFormatting sqref="F265">
    <cfRule type="cellIs" dxfId="6" priority="571" operator="greaterThanOrEqual">
      <formula>0</formula>
    </cfRule>
  </conditionalFormatting>
  <conditionalFormatting sqref="F265">
    <cfRule type="cellIs" dxfId="5" priority="572" operator="lessThan">
      <formula>-4100</formula>
    </cfRule>
  </conditionalFormatting>
  <conditionalFormatting sqref="F265">
    <cfRule type="cellIs" dxfId="6" priority="573" operator="greaterThanOrEqual">
      <formula>0</formula>
    </cfRule>
  </conditionalFormatting>
  <conditionalFormatting sqref="F265">
    <cfRule type="cellIs" dxfId="5" priority="574" operator="lessThan">
      <formula>-4100</formula>
    </cfRule>
  </conditionalFormatting>
  <conditionalFormatting sqref="F265">
    <cfRule type="cellIs" dxfId="6" priority="575" operator="greaterThanOrEqual">
      <formula>0</formula>
    </cfRule>
  </conditionalFormatting>
  <conditionalFormatting sqref="F265">
    <cfRule type="cellIs" dxfId="5" priority="576" operator="lessThan">
      <formula>-4100</formula>
    </cfRule>
  </conditionalFormatting>
  <conditionalFormatting sqref="F265">
    <cfRule type="cellIs" dxfId="6" priority="577" operator="greaterThanOrEqual">
      <formula>0</formula>
    </cfRule>
  </conditionalFormatting>
  <conditionalFormatting sqref="F265">
    <cfRule type="cellIs" dxfId="5" priority="578" operator="lessThan">
      <formula>-4100</formula>
    </cfRule>
  </conditionalFormatting>
  <conditionalFormatting sqref="F265">
    <cfRule type="cellIs" dxfId="6" priority="579" operator="greaterThanOrEqual">
      <formula>0</formula>
    </cfRule>
  </conditionalFormatting>
  <conditionalFormatting sqref="F265">
    <cfRule type="cellIs" dxfId="5" priority="580" operator="lessThan">
      <formula>-4100</formula>
    </cfRule>
  </conditionalFormatting>
  <conditionalFormatting sqref="F265">
    <cfRule type="cellIs" dxfId="6" priority="581" operator="greaterThanOrEqual">
      <formula>0</formula>
    </cfRule>
  </conditionalFormatting>
  <conditionalFormatting sqref="F265">
    <cfRule type="cellIs" dxfId="5" priority="582" operator="lessThan">
      <formula>-4100</formula>
    </cfRule>
  </conditionalFormatting>
  <conditionalFormatting sqref="F265">
    <cfRule type="cellIs" dxfId="6" priority="583" operator="greaterThanOrEqual">
      <formula>0</formula>
    </cfRule>
  </conditionalFormatting>
  <conditionalFormatting sqref="F265">
    <cfRule type="cellIs" dxfId="5" priority="584" operator="lessThan">
      <formula>-4100</formula>
    </cfRule>
  </conditionalFormatting>
  <conditionalFormatting sqref="E265">
    <cfRule type="cellIs" dxfId="4" priority="585" operator="greaterThan">
      <formula>0</formula>
    </cfRule>
  </conditionalFormatting>
  <conditionalFormatting sqref="F154">
    <cfRule type="cellIs" dxfId="5" priority="586" operator="lessThan">
      <formula>-4100</formula>
    </cfRule>
  </conditionalFormatting>
  <conditionalFormatting sqref="F154">
    <cfRule type="cellIs" dxfId="6" priority="587" operator="greaterThanOrEqual">
      <formula>0</formula>
    </cfRule>
  </conditionalFormatting>
  <conditionalFormatting sqref="F154">
    <cfRule type="cellIs" dxfId="6" priority="588" operator="greaterThanOrEqual">
      <formula>0</formula>
    </cfRule>
  </conditionalFormatting>
  <conditionalFormatting sqref="F154">
    <cfRule type="cellIs" dxfId="5" priority="589" operator="lessThan">
      <formula>-4100</formula>
    </cfRule>
  </conditionalFormatting>
  <conditionalFormatting sqref="F154">
    <cfRule type="cellIs" dxfId="6" priority="590" operator="greaterThanOrEqual">
      <formula>0</formula>
    </cfRule>
  </conditionalFormatting>
  <conditionalFormatting sqref="F154">
    <cfRule type="cellIs" dxfId="5" priority="591" operator="lessThan">
      <formula>-4100</formula>
    </cfRule>
  </conditionalFormatting>
  <conditionalFormatting sqref="F154">
    <cfRule type="cellIs" dxfId="6" priority="592" operator="greaterThanOrEqual">
      <formula>0</formula>
    </cfRule>
  </conditionalFormatting>
  <conditionalFormatting sqref="F154">
    <cfRule type="cellIs" dxfId="5" priority="593" operator="lessThan">
      <formula>-4100</formula>
    </cfRule>
  </conditionalFormatting>
  <conditionalFormatting sqref="F154">
    <cfRule type="cellIs" dxfId="6" priority="594" operator="greaterThanOrEqual">
      <formula>0</formula>
    </cfRule>
  </conditionalFormatting>
  <conditionalFormatting sqref="F154">
    <cfRule type="cellIs" dxfId="5" priority="595" operator="lessThan">
      <formula>-4100</formula>
    </cfRule>
  </conditionalFormatting>
  <conditionalFormatting sqref="F154">
    <cfRule type="cellIs" dxfId="5" priority="596" operator="lessThan">
      <formula>-4100</formula>
    </cfRule>
  </conditionalFormatting>
  <conditionalFormatting sqref="F154">
    <cfRule type="cellIs" dxfId="6" priority="597" operator="greaterThanOrEqual">
      <formula>0</formula>
    </cfRule>
  </conditionalFormatting>
  <conditionalFormatting sqref="F154">
    <cfRule type="cellIs" dxfId="6" priority="598" operator="greaterThanOrEqual">
      <formula>0</formula>
    </cfRule>
  </conditionalFormatting>
  <conditionalFormatting sqref="F154">
    <cfRule type="cellIs" dxfId="5" priority="599" operator="lessThan">
      <formula>-4100</formula>
    </cfRule>
  </conditionalFormatting>
  <conditionalFormatting sqref="F154">
    <cfRule type="cellIs" dxfId="6" priority="600" operator="greaterThanOrEqual">
      <formula>0</formula>
    </cfRule>
  </conditionalFormatting>
  <conditionalFormatting sqref="F154">
    <cfRule type="cellIs" dxfId="5" priority="601" operator="lessThan">
      <formula>-4100</formula>
    </cfRule>
  </conditionalFormatting>
  <conditionalFormatting sqref="E154">
    <cfRule type="cellIs" dxfId="4" priority="602" operator="greaterThan">
      <formula>0</formula>
    </cfRule>
  </conditionalFormatting>
  <conditionalFormatting sqref="F79">
    <cfRule type="cellIs" dxfId="5" priority="603" operator="lessThan">
      <formula>-4100</formula>
    </cfRule>
  </conditionalFormatting>
  <conditionalFormatting sqref="F79">
    <cfRule type="cellIs" dxfId="6" priority="604" operator="greaterThanOrEqual">
      <formula>0</formula>
    </cfRule>
  </conditionalFormatting>
  <conditionalFormatting sqref="F79">
    <cfRule type="cellIs" dxfId="6" priority="605" operator="greaterThanOrEqual">
      <formula>0</formula>
    </cfRule>
  </conditionalFormatting>
  <conditionalFormatting sqref="F79">
    <cfRule type="cellIs" dxfId="5" priority="606" operator="lessThan">
      <formula>-4100</formula>
    </cfRule>
  </conditionalFormatting>
  <conditionalFormatting sqref="F79">
    <cfRule type="cellIs" dxfId="6" priority="607" operator="greaterThanOrEqual">
      <formula>0</formula>
    </cfRule>
  </conditionalFormatting>
  <conditionalFormatting sqref="F79">
    <cfRule type="cellIs" dxfId="5" priority="608" operator="lessThan">
      <formula>-4100</formula>
    </cfRule>
  </conditionalFormatting>
  <conditionalFormatting sqref="F79">
    <cfRule type="cellIs" dxfId="6" priority="609" operator="greaterThanOrEqual">
      <formula>0</formula>
    </cfRule>
  </conditionalFormatting>
  <conditionalFormatting sqref="F79">
    <cfRule type="cellIs" dxfId="5" priority="610" operator="lessThan">
      <formula>-4100</formula>
    </cfRule>
  </conditionalFormatting>
  <conditionalFormatting sqref="F79">
    <cfRule type="cellIs" dxfId="6" priority="611" operator="greaterThanOrEqual">
      <formula>0</formula>
    </cfRule>
  </conditionalFormatting>
  <conditionalFormatting sqref="F79">
    <cfRule type="cellIs" dxfId="5" priority="612" operator="lessThan">
      <formula>-4100</formula>
    </cfRule>
  </conditionalFormatting>
  <conditionalFormatting sqref="F79">
    <cfRule type="cellIs" dxfId="5" priority="613" operator="lessThan">
      <formula>-4100</formula>
    </cfRule>
  </conditionalFormatting>
  <conditionalFormatting sqref="F79">
    <cfRule type="cellIs" dxfId="6" priority="614" operator="greaterThanOrEqual">
      <formula>0</formula>
    </cfRule>
  </conditionalFormatting>
  <conditionalFormatting sqref="F79">
    <cfRule type="cellIs" dxfId="6" priority="615" operator="greaterThanOrEqual">
      <formula>0</formula>
    </cfRule>
  </conditionalFormatting>
  <conditionalFormatting sqref="F79">
    <cfRule type="cellIs" dxfId="5" priority="616" operator="lessThan">
      <formula>-4100</formula>
    </cfRule>
  </conditionalFormatting>
  <conditionalFormatting sqref="F79">
    <cfRule type="cellIs" dxfId="6" priority="617" operator="greaterThanOrEqual">
      <formula>0</formula>
    </cfRule>
  </conditionalFormatting>
  <conditionalFormatting sqref="F79">
    <cfRule type="cellIs" dxfId="5" priority="618" operator="lessThan">
      <formula>-4100</formula>
    </cfRule>
  </conditionalFormatting>
  <conditionalFormatting sqref="E79">
    <cfRule type="cellIs" dxfId="4" priority="619" operator="greaterThan">
      <formula>0</formula>
    </cfRule>
  </conditionalFormatting>
  <conditionalFormatting sqref="H5">
    <cfRule type="expression" dxfId="0" priority="620">
      <formula>H5&lt;($D$3-6%)</formula>
    </cfRule>
  </conditionalFormatting>
  <conditionalFormatting sqref="H5">
    <cfRule type="expression" dxfId="1" priority="621">
      <formula>H5&gt;($D$3+6%)</formula>
    </cfRule>
  </conditionalFormatting>
  <conditionalFormatting sqref="H5">
    <cfRule type="expression" dxfId="2" priority="622">
      <formula>H5&lt;($D$3-3%)</formula>
    </cfRule>
  </conditionalFormatting>
  <conditionalFormatting sqref="H5">
    <cfRule type="expression" dxfId="3" priority="623">
      <formula>H5&gt;($D$3+3%)</formula>
    </cfRule>
  </conditionalFormatting>
  <conditionalFormatting sqref="H6">
    <cfRule type="expression" dxfId="0" priority="624">
      <formula>H6&lt;($D$3-6%)</formula>
    </cfRule>
  </conditionalFormatting>
  <conditionalFormatting sqref="H6">
    <cfRule type="expression" dxfId="1" priority="625">
      <formula>H6&gt;($D$3+6%)</formula>
    </cfRule>
  </conditionalFormatting>
  <conditionalFormatting sqref="H6">
    <cfRule type="expression" dxfId="2" priority="626">
      <formula>H6&lt;($D$3-3%)</formula>
    </cfRule>
  </conditionalFormatting>
  <conditionalFormatting sqref="H6">
    <cfRule type="expression" dxfId="3" priority="627">
      <formula>H6&gt;($D$3+3%)</formula>
    </cfRule>
  </conditionalFormatting>
  <conditionalFormatting sqref="F9">
    <cfRule type="cellIs" dxfId="5" priority="628" operator="lessThan">
      <formula>-4100</formula>
    </cfRule>
  </conditionalFormatting>
  <conditionalFormatting sqref="F9">
    <cfRule type="cellIs" dxfId="6" priority="629" operator="greaterThanOrEqual">
      <formula>0</formula>
    </cfRule>
  </conditionalFormatting>
  <conditionalFormatting sqref="F9">
    <cfRule type="cellIs" dxfId="6" priority="630" operator="greaterThanOrEqual">
      <formula>0</formula>
    </cfRule>
  </conditionalFormatting>
  <conditionalFormatting sqref="F9">
    <cfRule type="cellIs" dxfId="5" priority="631" operator="lessThan">
      <formula>-4100</formula>
    </cfRule>
  </conditionalFormatting>
  <conditionalFormatting sqref="F9">
    <cfRule type="cellIs" dxfId="6" priority="632" operator="greaterThanOrEqual">
      <formula>0</formula>
    </cfRule>
  </conditionalFormatting>
  <conditionalFormatting sqref="F9">
    <cfRule type="cellIs" dxfId="5" priority="633" operator="lessThan">
      <formula>-4100</formula>
    </cfRule>
  </conditionalFormatting>
  <conditionalFormatting sqref="F9">
    <cfRule type="cellIs" dxfId="6" priority="634" operator="greaterThanOrEqual">
      <formula>0</formula>
    </cfRule>
  </conditionalFormatting>
  <conditionalFormatting sqref="F9">
    <cfRule type="cellIs" dxfId="5" priority="635" operator="lessThan">
      <formula>-4100</formula>
    </cfRule>
  </conditionalFormatting>
  <conditionalFormatting sqref="F9">
    <cfRule type="cellIs" dxfId="6" priority="636" operator="greaterThanOrEqual">
      <formula>0</formula>
    </cfRule>
  </conditionalFormatting>
  <conditionalFormatting sqref="F9">
    <cfRule type="cellIs" dxfId="5" priority="637" operator="lessThan">
      <formula>-4100</formula>
    </cfRule>
  </conditionalFormatting>
  <conditionalFormatting sqref="F9">
    <cfRule type="cellIs" dxfId="5" priority="638" operator="lessThan">
      <formula>-4100</formula>
    </cfRule>
  </conditionalFormatting>
  <conditionalFormatting sqref="F9">
    <cfRule type="cellIs" dxfId="6" priority="639" operator="greaterThanOrEqual">
      <formula>0</formula>
    </cfRule>
  </conditionalFormatting>
  <conditionalFormatting sqref="F9">
    <cfRule type="cellIs" dxfId="6" priority="640" operator="greaterThanOrEqual">
      <formula>0</formula>
    </cfRule>
  </conditionalFormatting>
  <conditionalFormatting sqref="F9">
    <cfRule type="cellIs" dxfId="5" priority="641" operator="lessThan">
      <formula>-4100</formula>
    </cfRule>
  </conditionalFormatting>
  <conditionalFormatting sqref="F9">
    <cfRule type="cellIs" dxfId="6" priority="642" operator="greaterThanOrEqual">
      <formula>0</formula>
    </cfRule>
  </conditionalFormatting>
  <conditionalFormatting sqref="F9">
    <cfRule type="cellIs" dxfId="5" priority="643" operator="lessThan">
      <formula>-4100</formula>
    </cfRule>
  </conditionalFormatting>
  <conditionalFormatting sqref="E9">
    <cfRule type="cellIs" dxfId="4" priority="644" operator="greaterThan">
      <formula>0</formula>
    </cfRule>
  </conditionalFormatting>
  <conditionalFormatting sqref="F14">
    <cfRule type="cellIs" dxfId="5" priority="645" operator="lessThan">
      <formula>-4100</formula>
    </cfRule>
  </conditionalFormatting>
  <conditionalFormatting sqref="F14">
    <cfRule type="cellIs" dxfId="6" priority="646" operator="greaterThanOrEqual">
      <formula>0</formula>
    </cfRule>
  </conditionalFormatting>
  <conditionalFormatting sqref="F14">
    <cfRule type="cellIs" dxfId="6" priority="647" operator="greaterThanOrEqual">
      <formula>0</formula>
    </cfRule>
  </conditionalFormatting>
  <conditionalFormatting sqref="F14">
    <cfRule type="cellIs" dxfId="5" priority="648" operator="lessThan">
      <formula>-4100</formula>
    </cfRule>
  </conditionalFormatting>
  <conditionalFormatting sqref="F14">
    <cfRule type="cellIs" dxfId="6" priority="649" operator="greaterThanOrEqual">
      <formula>0</formula>
    </cfRule>
  </conditionalFormatting>
  <conditionalFormatting sqref="F14">
    <cfRule type="cellIs" dxfId="5" priority="650" operator="lessThan">
      <formula>-4100</formula>
    </cfRule>
  </conditionalFormatting>
  <conditionalFormatting sqref="F14">
    <cfRule type="cellIs" dxfId="6" priority="651" operator="greaterThanOrEqual">
      <formula>0</formula>
    </cfRule>
  </conditionalFormatting>
  <conditionalFormatting sqref="F14">
    <cfRule type="cellIs" dxfId="5" priority="652" operator="lessThan">
      <formula>-4100</formula>
    </cfRule>
  </conditionalFormatting>
  <conditionalFormatting sqref="F14">
    <cfRule type="cellIs" dxfId="6" priority="653" operator="greaterThanOrEqual">
      <formula>0</formula>
    </cfRule>
  </conditionalFormatting>
  <conditionalFormatting sqref="F14">
    <cfRule type="cellIs" dxfId="5" priority="654" operator="lessThan">
      <formula>-4100</formula>
    </cfRule>
  </conditionalFormatting>
  <conditionalFormatting sqref="F14">
    <cfRule type="cellIs" dxfId="5" priority="655" operator="lessThan">
      <formula>-4100</formula>
    </cfRule>
  </conditionalFormatting>
  <conditionalFormatting sqref="F14">
    <cfRule type="cellIs" dxfId="6" priority="656" operator="greaterThanOrEqual">
      <formula>0</formula>
    </cfRule>
  </conditionalFormatting>
  <conditionalFormatting sqref="F14">
    <cfRule type="cellIs" dxfId="6" priority="657" operator="greaterThanOrEqual">
      <formula>0</formula>
    </cfRule>
  </conditionalFormatting>
  <conditionalFormatting sqref="F14">
    <cfRule type="cellIs" dxfId="5" priority="658" operator="lessThan">
      <formula>-4100</formula>
    </cfRule>
  </conditionalFormatting>
  <conditionalFormatting sqref="F14">
    <cfRule type="cellIs" dxfId="6" priority="659" operator="greaterThanOrEqual">
      <formula>0</formula>
    </cfRule>
  </conditionalFormatting>
  <conditionalFormatting sqref="F14">
    <cfRule type="cellIs" dxfId="5" priority="660" operator="lessThan">
      <formula>-4100</formula>
    </cfRule>
  </conditionalFormatting>
  <conditionalFormatting sqref="E14">
    <cfRule type="cellIs" dxfId="4" priority="661" operator="greaterThan">
      <formula>0</formula>
    </cfRule>
  </conditionalFormatting>
  <conditionalFormatting sqref="F185">
    <cfRule type="cellIs" dxfId="5" priority="662" operator="lessThan">
      <formula>-4100</formula>
    </cfRule>
  </conditionalFormatting>
  <conditionalFormatting sqref="F185">
    <cfRule type="cellIs" dxfId="6" priority="663" operator="greaterThanOrEqual">
      <formula>0</formula>
    </cfRule>
  </conditionalFormatting>
  <conditionalFormatting sqref="F185">
    <cfRule type="cellIs" dxfId="6" priority="664" operator="greaterThanOrEqual">
      <formula>0</formula>
    </cfRule>
  </conditionalFormatting>
  <conditionalFormatting sqref="F185">
    <cfRule type="cellIs" dxfId="5" priority="665" operator="lessThan">
      <formula>-4100</formula>
    </cfRule>
  </conditionalFormatting>
  <conditionalFormatting sqref="F185">
    <cfRule type="cellIs" dxfId="6" priority="666" operator="greaterThanOrEqual">
      <formula>0</formula>
    </cfRule>
  </conditionalFormatting>
  <conditionalFormatting sqref="F185">
    <cfRule type="cellIs" dxfId="5" priority="667" operator="lessThan">
      <formula>-4100</formula>
    </cfRule>
  </conditionalFormatting>
  <conditionalFormatting sqref="F185">
    <cfRule type="cellIs" dxfId="6" priority="668" operator="greaterThanOrEqual">
      <formula>0</formula>
    </cfRule>
  </conditionalFormatting>
  <conditionalFormatting sqref="F185">
    <cfRule type="cellIs" dxfId="5" priority="669" operator="lessThan">
      <formula>-4100</formula>
    </cfRule>
  </conditionalFormatting>
  <conditionalFormatting sqref="F185">
    <cfRule type="cellIs" dxfId="6" priority="670" operator="greaterThanOrEqual">
      <formula>0</formula>
    </cfRule>
  </conditionalFormatting>
  <conditionalFormatting sqref="F185">
    <cfRule type="cellIs" dxfId="5" priority="671" operator="lessThan">
      <formula>-4100</formula>
    </cfRule>
  </conditionalFormatting>
  <conditionalFormatting sqref="E185">
    <cfRule type="cellIs" dxfId="4" priority="672" operator="greaterThan">
      <formula>0</formula>
    </cfRule>
  </conditionalFormatting>
  <conditionalFormatting sqref="F185">
    <cfRule type="cellIs" dxfId="6" priority="673" operator="greaterThanOrEqual">
      <formula>0</formula>
    </cfRule>
  </conditionalFormatting>
  <conditionalFormatting sqref="F185">
    <cfRule type="cellIs" dxfId="5" priority="674" operator="lessThan">
      <formula>-4100</formula>
    </cfRule>
  </conditionalFormatting>
  <conditionalFormatting sqref="F185">
    <cfRule type="cellIs" dxfId="6" priority="675" operator="greaterThanOrEqual">
      <formula>0</formula>
    </cfRule>
  </conditionalFormatting>
  <conditionalFormatting sqref="F185">
    <cfRule type="cellIs" dxfId="5" priority="676" operator="lessThan">
      <formula>-4100</formula>
    </cfRule>
  </conditionalFormatting>
  <conditionalFormatting sqref="F185">
    <cfRule type="cellIs" dxfId="6" priority="677" operator="greaterThanOrEqual">
      <formula>0</formula>
    </cfRule>
  </conditionalFormatting>
  <conditionalFormatting sqref="F185">
    <cfRule type="cellIs" dxfId="5" priority="678" operator="lessThan">
      <formula>-4100</formula>
    </cfRule>
  </conditionalFormatting>
  <conditionalFormatting sqref="F109">
    <cfRule type="cellIs" dxfId="6" priority="679" operator="greaterThanOrEqual">
      <formula>0</formula>
    </cfRule>
  </conditionalFormatting>
  <conditionalFormatting sqref="F109">
    <cfRule type="cellIs" dxfId="5" priority="680" operator="lessThan">
      <formula>-4100</formula>
    </cfRule>
  </conditionalFormatting>
  <conditionalFormatting sqref="F109">
    <cfRule type="cellIs" dxfId="6" priority="681" operator="greaterThanOrEqual">
      <formula>0</formula>
    </cfRule>
  </conditionalFormatting>
  <conditionalFormatting sqref="F109">
    <cfRule type="cellIs" dxfId="5" priority="682" operator="lessThan">
      <formula>-4100</formula>
    </cfRule>
  </conditionalFormatting>
  <conditionalFormatting sqref="E109">
    <cfRule type="cellIs" dxfId="4" priority="683" operator="greaterThan">
      <formula>0</formula>
    </cfRule>
  </conditionalFormatting>
  <conditionalFormatting sqref="F109">
    <cfRule type="cellIs" dxfId="6" priority="684" operator="greaterThanOrEqual">
      <formula>0</formula>
    </cfRule>
  </conditionalFormatting>
  <conditionalFormatting sqref="F109">
    <cfRule type="cellIs" dxfId="5" priority="685" operator="lessThan">
      <formula>-4100</formula>
    </cfRule>
  </conditionalFormatting>
  <conditionalFormatting sqref="F109">
    <cfRule type="cellIs" dxfId="6" priority="686" operator="greaterThanOrEqual">
      <formula>0</formula>
    </cfRule>
  </conditionalFormatting>
  <conditionalFormatting sqref="F109">
    <cfRule type="cellIs" dxfId="5" priority="687" operator="lessThan">
      <formula>-4100</formula>
    </cfRule>
  </conditionalFormatting>
  <conditionalFormatting sqref="F109">
    <cfRule type="cellIs" dxfId="6" priority="688" operator="greaterThanOrEqual">
      <formula>0</formula>
    </cfRule>
  </conditionalFormatting>
  <conditionalFormatting sqref="F109">
    <cfRule type="cellIs" dxfId="5" priority="689" operator="lessThan">
      <formula>-4100</formula>
    </cfRule>
  </conditionalFormatting>
  <conditionalFormatting sqref="F109">
    <cfRule type="cellIs" dxfId="6" priority="690" operator="greaterThanOrEqual">
      <formula>0</formula>
    </cfRule>
  </conditionalFormatting>
  <conditionalFormatting sqref="F109">
    <cfRule type="cellIs" dxfId="5" priority="691" operator="lessThan">
      <formula>-4100</formula>
    </cfRule>
  </conditionalFormatting>
  <conditionalFormatting sqref="F109">
    <cfRule type="cellIs" dxfId="6" priority="692" operator="greaterThanOrEqual">
      <formula>0</formula>
    </cfRule>
  </conditionalFormatting>
  <conditionalFormatting sqref="F109">
    <cfRule type="cellIs" dxfId="5" priority="693" operator="lessThan">
      <formula>-4100</formula>
    </cfRule>
  </conditionalFormatting>
  <conditionalFormatting sqref="F109">
    <cfRule type="cellIs" dxfId="6" priority="694" operator="greaterThanOrEqual">
      <formula>0</formula>
    </cfRule>
  </conditionalFormatting>
  <conditionalFormatting sqref="F109">
    <cfRule type="cellIs" dxfId="5" priority="695" operator="lessThan">
      <formula>-4100</formula>
    </cfRule>
  </conditionalFormatting>
  <conditionalFormatting sqref="F144">
    <cfRule type="cellIs" dxfId="5" priority="696" operator="lessThan">
      <formula>-4100</formula>
    </cfRule>
  </conditionalFormatting>
  <conditionalFormatting sqref="F144">
    <cfRule type="cellIs" dxfId="6" priority="697" operator="greaterThanOrEqual">
      <formula>0</formula>
    </cfRule>
  </conditionalFormatting>
  <conditionalFormatting sqref="F144">
    <cfRule type="cellIs" dxfId="6" priority="698" operator="greaterThanOrEqual">
      <formula>0</formula>
    </cfRule>
  </conditionalFormatting>
  <conditionalFormatting sqref="F144">
    <cfRule type="cellIs" dxfId="5" priority="699" operator="lessThan">
      <formula>-4100</formula>
    </cfRule>
  </conditionalFormatting>
  <conditionalFormatting sqref="F144">
    <cfRule type="cellIs" dxfId="6" priority="700" operator="greaterThanOrEqual">
      <formula>0</formula>
    </cfRule>
  </conditionalFormatting>
  <conditionalFormatting sqref="F144">
    <cfRule type="cellIs" dxfId="5" priority="701" operator="lessThan">
      <formula>-4100</formula>
    </cfRule>
  </conditionalFormatting>
  <conditionalFormatting sqref="F144">
    <cfRule type="cellIs" dxfId="6" priority="702" operator="greaterThanOrEqual">
      <formula>0</formula>
    </cfRule>
  </conditionalFormatting>
  <conditionalFormatting sqref="F144">
    <cfRule type="cellIs" dxfId="5" priority="703" operator="lessThan">
      <formula>-4100</formula>
    </cfRule>
  </conditionalFormatting>
  <conditionalFormatting sqref="F144">
    <cfRule type="cellIs" dxfId="6" priority="704" operator="greaterThanOrEqual">
      <formula>0</formula>
    </cfRule>
  </conditionalFormatting>
  <conditionalFormatting sqref="F144">
    <cfRule type="cellIs" dxfId="5" priority="705" operator="lessThan">
      <formula>-4100</formula>
    </cfRule>
  </conditionalFormatting>
  <conditionalFormatting sqref="F144">
    <cfRule type="cellIs" dxfId="5" priority="706" operator="lessThan">
      <formula>-4100</formula>
    </cfRule>
  </conditionalFormatting>
  <conditionalFormatting sqref="F144">
    <cfRule type="cellIs" dxfId="6" priority="707" operator="greaterThanOrEqual">
      <formula>0</formula>
    </cfRule>
  </conditionalFormatting>
  <conditionalFormatting sqref="F144">
    <cfRule type="cellIs" dxfId="6" priority="708" operator="greaterThanOrEqual">
      <formula>0</formula>
    </cfRule>
  </conditionalFormatting>
  <conditionalFormatting sqref="F144">
    <cfRule type="cellIs" dxfId="5" priority="709" operator="lessThan">
      <formula>-4100</formula>
    </cfRule>
  </conditionalFormatting>
  <conditionalFormatting sqref="F144">
    <cfRule type="cellIs" dxfId="6" priority="710" operator="greaterThanOrEqual">
      <formula>0</formula>
    </cfRule>
  </conditionalFormatting>
  <conditionalFormatting sqref="F144">
    <cfRule type="cellIs" dxfId="5" priority="711" operator="lessThan">
      <formula>-4100</formula>
    </cfRule>
  </conditionalFormatting>
  <conditionalFormatting sqref="E144">
    <cfRule type="cellIs" dxfId="4" priority="712" operator="greaterThan">
      <formula>0</formula>
    </cfRule>
  </conditionalFormatting>
  <conditionalFormatting sqref="F230">
    <cfRule type="cellIs" dxfId="5" priority="713" operator="lessThan">
      <formula>-4100</formula>
    </cfRule>
  </conditionalFormatting>
  <conditionalFormatting sqref="F230">
    <cfRule type="cellIs" dxfId="6" priority="714" operator="greaterThanOrEqual">
      <formula>0</formula>
    </cfRule>
  </conditionalFormatting>
  <conditionalFormatting sqref="F230">
    <cfRule type="cellIs" dxfId="6" priority="715" operator="greaterThanOrEqual">
      <formula>0</formula>
    </cfRule>
  </conditionalFormatting>
  <conditionalFormatting sqref="F230">
    <cfRule type="cellIs" dxfId="5" priority="716" operator="lessThan">
      <formula>-4100</formula>
    </cfRule>
  </conditionalFormatting>
  <conditionalFormatting sqref="F230">
    <cfRule type="cellIs" dxfId="6" priority="717" operator="greaterThanOrEqual">
      <formula>0</formula>
    </cfRule>
  </conditionalFormatting>
  <conditionalFormatting sqref="F230">
    <cfRule type="cellIs" dxfId="5" priority="718" operator="lessThan">
      <formula>-4100</formula>
    </cfRule>
  </conditionalFormatting>
  <conditionalFormatting sqref="F230">
    <cfRule type="cellIs" dxfId="6" priority="719" operator="greaterThanOrEqual">
      <formula>0</formula>
    </cfRule>
  </conditionalFormatting>
  <conditionalFormatting sqref="F230">
    <cfRule type="cellIs" dxfId="5" priority="720" operator="lessThan">
      <formula>-4100</formula>
    </cfRule>
  </conditionalFormatting>
  <conditionalFormatting sqref="E230">
    <cfRule type="cellIs" dxfId="4" priority="721" operator="greaterThan">
      <formula>0</formula>
    </cfRule>
  </conditionalFormatting>
  <conditionalFormatting sqref="F94">
    <cfRule type="cellIs" dxfId="5" priority="722" operator="lessThan">
      <formula>-4100</formula>
    </cfRule>
  </conditionalFormatting>
  <conditionalFormatting sqref="F94">
    <cfRule type="cellIs" dxfId="6" priority="723" operator="greaterThanOrEqual">
      <formula>0</formula>
    </cfRule>
  </conditionalFormatting>
  <conditionalFormatting sqref="F94">
    <cfRule type="cellIs" dxfId="6" priority="724" operator="greaterThanOrEqual">
      <formula>0</formula>
    </cfRule>
  </conditionalFormatting>
  <conditionalFormatting sqref="F94">
    <cfRule type="cellIs" dxfId="5" priority="725" operator="lessThan">
      <formula>-4100</formula>
    </cfRule>
  </conditionalFormatting>
  <conditionalFormatting sqref="F94">
    <cfRule type="cellIs" dxfId="6" priority="726" operator="greaterThanOrEqual">
      <formula>0</formula>
    </cfRule>
  </conditionalFormatting>
  <conditionalFormatting sqref="F94">
    <cfRule type="cellIs" dxfId="5" priority="727" operator="lessThan">
      <formula>-4100</formula>
    </cfRule>
  </conditionalFormatting>
  <conditionalFormatting sqref="F94">
    <cfRule type="cellIs" dxfId="5" priority="728" operator="lessThan">
      <formula>-4100</formula>
    </cfRule>
  </conditionalFormatting>
  <conditionalFormatting sqref="F94">
    <cfRule type="cellIs" dxfId="6" priority="729" operator="greaterThanOrEqual">
      <formula>0</formula>
    </cfRule>
  </conditionalFormatting>
  <conditionalFormatting sqref="F94">
    <cfRule type="cellIs" dxfId="6" priority="730" operator="greaterThanOrEqual">
      <formula>0</formula>
    </cfRule>
  </conditionalFormatting>
  <conditionalFormatting sqref="F94">
    <cfRule type="cellIs" dxfId="5" priority="731" operator="lessThan">
      <formula>-4100</formula>
    </cfRule>
  </conditionalFormatting>
  <conditionalFormatting sqref="F94">
    <cfRule type="cellIs" dxfId="6" priority="732" operator="greaterThanOrEqual">
      <formula>0</formula>
    </cfRule>
  </conditionalFormatting>
  <conditionalFormatting sqref="F94">
    <cfRule type="cellIs" dxfId="5" priority="733" operator="lessThan">
      <formula>-4100</formula>
    </cfRule>
  </conditionalFormatting>
  <conditionalFormatting sqref="E90:E94">
    <cfRule type="cellIs" dxfId="4" priority="734" operator="greaterThan">
      <formula>0</formula>
    </cfRule>
  </conditionalFormatting>
  <conditionalFormatting sqref="F94">
    <cfRule type="cellIs" dxfId="6" priority="735" operator="greaterThanOrEqual">
      <formula>0</formula>
    </cfRule>
  </conditionalFormatting>
  <conditionalFormatting sqref="F94">
    <cfRule type="cellIs" dxfId="5" priority="736" operator="lessThan">
      <formula>-4100</formula>
    </cfRule>
  </conditionalFormatting>
  <conditionalFormatting sqref="F94">
    <cfRule type="cellIs" dxfId="6" priority="737" operator="greaterThanOrEqual">
      <formula>0</formula>
    </cfRule>
  </conditionalFormatting>
  <conditionalFormatting sqref="F94">
    <cfRule type="cellIs" dxfId="5" priority="738" operator="lessThan">
      <formula>-4100</formula>
    </cfRule>
  </conditionalFormatting>
  <conditionalFormatting sqref="F260">
    <cfRule type="cellIs" dxfId="6" priority="739" operator="greaterThanOrEqual">
      <formula>0</formula>
    </cfRule>
  </conditionalFormatting>
  <conditionalFormatting sqref="F260">
    <cfRule type="cellIs" dxfId="5" priority="740" operator="lessThan">
      <formula>-4100</formula>
    </cfRule>
  </conditionalFormatting>
  <conditionalFormatting sqref="F260">
    <cfRule type="cellIs" dxfId="6" priority="741" operator="greaterThanOrEqual">
      <formula>0</formula>
    </cfRule>
  </conditionalFormatting>
  <conditionalFormatting sqref="F260">
    <cfRule type="cellIs" dxfId="5" priority="742" operator="lessThan">
      <formula>-4100</formula>
    </cfRule>
  </conditionalFormatting>
  <conditionalFormatting sqref="F260">
    <cfRule type="cellIs" dxfId="6" priority="743" operator="greaterThanOrEqual">
      <formula>0</formula>
    </cfRule>
  </conditionalFormatting>
  <conditionalFormatting sqref="F260">
    <cfRule type="cellIs" dxfId="5" priority="744" operator="lessThan">
      <formula>-4100</formula>
    </cfRule>
  </conditionalFormatting>
  <conditionalFormatting sqref="F260">
    <cfRule type="cellIs" dxfId="6" priority="745" operator="greaterThanOrEqual">
      <formula>0</formula>
    </cfRule>
  </conditionalFormatting>
  <conditionalFormatting sqref="F260">
    <cfRule type="cellIs" dxfId="5" priority="746" operator="lessThan">
      <formula>-4100</formula>
    </cfRule>
  </conditionalFormatting>
  <conditionalFormatting sqref="F260">
    <cfRule type="cellIs" dxfId="6" priority="747" operator="greaterThanOrEqual">
      <formula>0</formula>
    </cfRule>
  </conditionalFormatting>
  <conditionalFormatting sqref="F260">
    <cfRule type="cellIs" dxfId="5" priority="748" operator="lessThan">
      <formula>-4100</formula>
    </cfRule>
  </conditionalFormatting>
  <conditionalFormatting sqref="F260">
    <cfRule type="cellIs" dxfId="6" priority="749" operator="greaterThanOrEqual">
      <formula>0</formula>
    </cfRule>
  </conditionalFormatting>
  <conditionalFormatting sqref="F260">
    <cfRule type="cellIs" dxfId="5" priority="750" operator="lessThan">
      <formula>-4100</formula>
    </cfRule>
  </conditionalFormatting>
  <conditionalFormatting sqref="F260">
    <cfRule type="cellIs" dxfId="6" priority="751" operator="greaterThanOrEqual">
      <formula>0</formula>
    </cfRule>
  </conditionalFormatting>
  <conditionalFormatting sqref="F260">
    <cfRule type="cellIs" dxfId="5" priority="752" operator="lessThan">
      <formula>-4100</formula>
    </cfRule>
  </conditionalFormatting>
  <conditionalFormatting sqref="F260">
    <cfRule type="cellIs" dxfId="6" priority="753" operator="greaterThanOrEqual">
      <formula>0</formula>
    </cfRule>
  </conditionalFormatting>
  <conditionalFormatting sqref="F260">
    <cfRule type="cellIs" dxfId="5" priority="754" operator="lessThan">
      <formula>-4100</formula>
    </cfRule>
  </conditionalFormatting>
  <conditionalFormatting sqref="E260">
    <cfRule type="cellIs" dxfId="4" priority="755" operator="greaterThan">
      <formula>0</formula>
    </cfRule>
  </conditionalFormatting>
  <conditionalFormatting sqref="F225">
    <cfRule type="cellIs" dxfId="5" priority="756" operator="lessThan">
      <formula>-4100</formula>
    </cfRule>
  </conditionalFormatting>
  <conditionalFormatting sqref="F225">
    <cfRule type="cellIs" dxfId="6" priority="757" operator="greaterThanOrEqual">
      <formula>0</formula>
    </cfRule>
  </conditionalFormatting>
  <conditionalFormatting sqref="F225">
    <cfRule type="cellIs" dxfId="6" priority="758" operator="greaterThanOrEqual">
      <formula>0</formula>
    </cfRule>
  </conditionalFormatting>
  <conditionalFormatting sqref="F225">
    <cfRule type="cellIs" dxfId="5" priority="759" operator="lessThan">
      <formula>-4100</formula>
    </cfRule>
  </conditionalFormatting>
  <conditionalFormatting sqref="F225">
    <cfRule type="cellIs" dxfId="6" priority="760" operator="greaterThanOrEqual">
      <formula>0</formula>
    </cfRule>
  </conditionalFormatting>
  <conditionalFormatting sqref="F225">
    <cfRule type="cellIs" dxfId="5" priority="761" operator="lessThan">
      <formula>-4100</formula>
    </cfRule>
  </conditionalFormatting>
  <conditionalFormatting sqref="F225">
    <cfRule type="cellIs" dxfId="6" priority="762" operator="greaterThanOrEqual">
      <formula>0</formula>
    </cfRule>
  </conditionalFormatting>
  <conditionalFormatting sqref="F225">
    <cfRule type="cellIs" dxfId="5" priority="763" operator="lessThan">
      <formula>-4100</formula>
    </cfRule>
  </conditionalFormatting>
  <conditionalFormatting sqref="E225">
    <cfRule type="cellIs" dxfId="4" priority="764" operator="greaterThan">
      <formula>0</formula>
    </cfRule>
  </conditionalFormatting>
  <conditionalFormatting sqref="F255">
    <cfRule type="cellIs" dxfId="6" priority="765" operator="greaterThanOrEqual">
      <formula>0</formula>
    </cfRule>
  </conditionalFormatting>
  <conditionalFormatting sqref="F255">
    <cfRule type="cellIs" dxfId="5" priority="766" operator="lessThan">
      <formula>-4100</formula>
    </cfRule>
  </conditionalFormatting>
  <conditionalFormatting sqref="F255">
    <cfRule type="cellIs" dxfId="6" priority="767" operator="greaterThanOrEqual">
      <formula>0</formula>
    </cfRule>
  </conditionalFormatting>
  <conditionalFormatting sqref="F255">
    <cfRule type="cellIs" dxfId="5" priority="768" operator="lessThan">
      <formula>-4100</formula>
    </cfRule>
  </conditionalFormatting>
  <conditionalFormatting sqref="F255">
    <cfRule type="cellIs" dxfId="6" priority="769" operator="greaterThanOrEqual">
      <formula>0</formula>
    </cfRule>
  </conditionalFormatting>
  <conditionalFormatting sqref="F255">
    <cfRule type="cellIs" dxfId="5" priority="770" operator="lessThan">
      <formula>-4100</formula>
    </cfRule>
  </conditionalFormatting>
  <conditionalFormatting sqref="F255">
    <cfRule type="cellIs" dxfId="6" priority="771" operator="greaterThanOrEqual">
      <formula>0</formula>
    </cfRule>
  </conditionalFormatting>
  <conditionalFormatting sqref="F255">
    <cfRule type="cellIs" dxfId="5" priority="772" operator="lessThan">
      <formula>-4100</formula>
    </cfRule>
  </conditionalFormatting>
  <conditionalFormatting sqref="F255">
    <cfRule type="cellIs" dxfId="6" priority="773" operator="greaterThanOrEqual">
      <formula>0</formula>
    </cfRule>
  </conditionalFormatting>
  <conditionalFormatting sqref="F255">
    <cfRule type="cellIs" dxfId="5" priority="774" operator="lessThan">
      <formula>-4100</formula>
    </cfRule>
  </conditionalFormatting>
  <conditionalFormatting sqref="F255">
    <cfRule type="cellIs" dxfId="6" priority="775" operator="greaterThanOrEqual">
      <formula>0</formula>
    </cfRule>
  </conditionalFormatting>
  <conditionalFormatting sqref="F255">
    <cfRule type="cellIs" dxfId="5" priority="776" operator="lessThan">
      <formula>-4100</formula>
    </cfRule>
  </conditionalFormatting>
  <conditionalFormatting sqref="F255">
    <cfRule type="cellIs" dxfId="6" priority="777" operator="greaterThanOrEqual">
      <formula>0</formula>
    </cfRule>
  </conditionalFormatting>
  <conditionalFormatting sqref="F255">
    <cfRule type="cellIs" dxfId="5" priority="778" operator="lessThan">
      <formula>-4100</formula>
    </cfRule>
  </conditionalFormatting>
  <conditionalFormatting sqref="F255">
    <cfRule type="cellIs" dxfId="6" priority="779" operator="greaterThanOrEqual">
      <formula>0</formula>
    </cfRule>
  </conditionalFormatting>
  <conditionalFormatting sqref="F255">
    <cfRule type="cellIs" dxfId="5" priority="780" operator="lessThan">
      <formula>-4100</formula>
    </cfRule>
  </conditionalFormatting>
  <conditionalFormatting sqref="E255">
    <cfRule type="cellIs" dxfId="4" priority="781" operator="greaterThan">
      <formula>0</formula>
    </cfRule>
  </conditionalFormatting>
  <conditionalFormatting sqref="F59">
    <cfRule type="cellIs" dxfId="5" priority="782" operator="lessThan">
      <formula>-4100</formula>
    </cfRule>
  </conditionalFormatting>
  <conditionalFormatting sqref="F59">
    <cfRule type="cellIs" dxfId="6" priority="783" operator="greaterThanOrEqual">
      <formula>0</formula>
    </cfRule>
  </conditionalFormatting>
  <conditionalFormatting sqref="F59">
    <cfRule type="cellIs" dxfId="6" priority="784" operator="greaterThanOrEqual">
      <formula>0</formula>
    </cfRule>
  </conditionalFormatting>
  <conditionalFormatting sqref="F59">
    <cfRule type="cellIs" dxfId="5" priority="785" operator="lessThan">
      <formula>-4100</formula>
    </cfRule>
  </conditionalFormatting>
  <conditionalFormatting sqref="F59">
    <cfRule type="cellIs" dxfId="6" priority="786" operator="greaterThanOrEqual">
      <formula>0</formula>
    </cfRule>
  </conditionalFormatting>
  <conditionalFormatting sqref="F59">
    <cfRule type="cellIs" dxfId="5" priority="787" operator="lessThan">
      <formula>-4100</formula>
    </cfRule>
  </conditionalFormatting>
  <conditionalFormatting sqref="F59">
    <cfRule type="cellIs" dxfId="6" priority="788" operator="greaterThanOrEqual">
      <formula>0</formula>
    </cfRule>
  </conditionalFormatting>
  <conditionalFormatting sqref="F59">
    <cfRule type="cellIs" dxfId="5" priority="789" operator="lessThan">
      <formula>-4100</formula>
    </cfRule>
  </conditionalFormatting>
  <conditionalFormatting sqref="F59">
    <cfRule type="cellIs" dxfId="6" priority="790" operator="greaterThanOrEqual">
      <formula>0</formula>
    </cfRule>
  </conditionalFormatting>
  <conditionalFormatting sqref="F59">
    <cfRule type="cellIs" dxfId="5" priority="791" operator="lessThan">
      <formula>-4100</formula>
    </cfRule>
  </conditionalFormatting>
  <conditionalFormatting sqref="F59">
    <cfRule type="cellIs" dxfId="5" priority="792" operator="lessThan">
      <formula>-4100</formula>
    </cfRule>
  </conditionalFormatting>
  <conditionalFormatting sqref="F59">
    <cfRule type="cellIs" dxfId="6" priority="793" operator="greaterThanOrEqual">
      <formula>0</formula>
    </cfRule>
  </conditionalFormatting>
  <conditionalFormatting sqref="F59">
    <cfRule type="cellIs" dxfId="6" priority="794" operator="greaterThanOrEqual">
      <formula>0</formula>
    </cfRule>
  </conditionalFormatting>
  <conditionalFormatting sqref="F59">
    <cfRule type="cellIs" dxfId="5" priority="795" operator="lessThan">
      <formula>-4100</formula>
    </cfRule>
  </conditionalFormatting>
  <conditionalFormatting sqref="F59">
    <cfRule type="cellIs" dxfId="6" priority="796" operator="greaterThanOrEqual">
      <formula>0</formula>
    </cfRule>
  </conditionalFormatting>
  <conditionalFormatting sqref="F59">
    <cfRule type="cellIs" dxfId="5" priority="797" operator="lessThan">
      <formula>-4100</formula>
    </cfRule>
  </conditionalFormatting>
  <conditionalFormatting sqref="E59">
    <cfRule type="cellIs" dxfId="4" priority="798" operator="greaterThan">
      <formula>0</formula>
    </cfRule>
  </conditionalFormatting>
  <conditionalFormatting sqref="F215">
    <cfRule type="cellIs" dxfId="5" priority="799" operator="lessThan">
      <formula>-4100</formula>
    </cfRule>
  </conditionalFormatting>
  <conditionalFormatting sqref="F215">
    <cfRule type="cellIs" dxfId="6" priority="800" operator="greaterThanOrEqual">
      <formula>0</formula>
    </cfRule>
  </conditionalFormatting>
  <conditionalFormatting sqref="F215">
    <cfRule type="cellIs" dxfId="6" priority="801" operator="greaterThanOrEqual">
      <formula>0</formula>
    </cfRule>
  </conditionalFormatting>
  <conditionalFormatting sqref="F215">
    <cfRule type="cellIs" dxfId="5" priority="802" operator="lessThan">
      <formula>-4100</formula>
    </cfRule>
  </conditionalFormatting>
  <conditionalFormatting sqref="F215">
    <cfRule type="cellIs" dxfId="6" priority="803" operator="greaterThanOrEqual">
      <formula>0</formula>
    </cfRule>
  </conditionalFormatting>
  <conditionalFormatting sqref="F215">
    <cfRule type="cellIs" dxfId="5" priority="804" operator="lessThan">
      <formula>-4100</formula>
    </cfRule>
  </conditionalFormatting>
  <conditionalFormatting sqref="F215">
    <cfRule type="cellIs" dxfId="6" priority="805" operator="greaterThanOrEqual">
      <formula>0</formula>
    </cfRule>
  </conditionalFormatting>
  <conditionalFormatting sqref="F215">
    <cfRule type="cellIs" dxfId="5" priority="806" operator="lessThan">
      <formula>-4100</formula>
    </cfRule>
  </conditionalFormatting>
  <conditionalFormatting sqref="E215">
    <cfRule type="cellIs" dxfId="4" priority="807" operator="greaterThan">
      <formula>0</formula>
    </cfRule>
  </conditionalFormatting>
  <conditionalFormatting sqref="F250">
    <cfRule type="cellIs" dxfId="6" priority="808" operator="greaterThanOrEqual">
      <formula>0</formula>
    </cfRule>
  </conditionalFormatting>
  <conditionalFormatting sqref="F250">
    <cfRule type="cellIs" dxfId="5" priority="809" operator="lessThan">
      <formula>-4100</formula>
    </cfRule>
  </conditionalFormatting>
  <conditionalFormatting sqref="F250">
    <cfRule type="cellIs" dxfId="6" priority="810" operator="greaterThanOrEqual">
      <formula>0</formula>
    </cfRule>
  </conditionalFormatting>
  <conditionalFormatting sqref="F250">
    <cfRule type="cellIs" dxfId="5" priority="811" operator="lessThan">
      <formula>-4100</formula>
    </cfRule>
  </conditionalFormatting>
  <conditionalFormatting sqref="F250">
    <cfRule type="cellIs" dxfId="6" priority="812" operator="greaterThanOrEqual">
      <formula>0</formula>
    </cfRule>
  </conditionalFormatting>
  <conditionalFormatting sqref="F250">
    <cfRule type="cellIs" dxfId="5" priority="813" operator="lessThan">
      <formula>-4100</formula>
    </cfRule>
  </conditionalFormatting>
  <conditionalFormatting sqref="F250">
    <cfRule type="cellIs" dxfId="6" priority="814" operator="greaterThanOrEqual">
      <formula>0</formula>
    </cfRule>
  </conditionalFormatting>
  <conditionalFormatting sqref="F250">
    <cfRule type="cellIs" dxfId="5" priority="815" operator="lessThan">
      <formula>-4100</formula>
    </cfRule>
  </conditionalFormatting>
  <conditionalFormatting sqref="F250">
    <cfRule type="cellIs" dxfId="6" priority="816" operator="greaterThanOrEqual">
      <formula>0</formula>
    </cfRule>
  </conditionalFormatting>
  <conditionalFormatting sqref="F250">
    <cfRule type="cellIs" dxfId="5" priority="817" operator="lessThan">
      <formula>-4100</formula>
    </cfRule>
  </conditionalFormatting>
  <conditionalFormatting sqref="F250">
    <cfRule type="cellIs" dxfId="6" priority="818" operator="greaterThanOrEqual">
      <formula>0</formula>
    </cfRule>
  </conditionalFormatting>
  <conditionalFormatting sqref="F250">
    <cfRule type="cellIs" dxfId="5" priority="819" operator="lessThan">
      <formula>-4100</formula>
    </cfRule>
  </conditionalFormatting>
  <conditionalFormatting sqref="F250">
    <cfRule type="cellIs" dxfId="6" priority="820" operator="greaterThanOrEqual">
      <formula>0</formula>
    </cfRule>
  </conditionalFormatting>
  <conditionalFormatting sqref="F250">
    <cfRule type="cellIs" dxfId="5" priority="821" operator="lessThan">
      <formula>-4100</formula>
    </cfRule>
  </conditionalFormatting>
  <conditionalFormatting sqref="F250">
    <cfRule type="cellIs" dxfId="6" priority="822" operator="greaterThanOrEqual">
      <formula>0</formula>
    </cfRule>
  </conditionalFormatting>
  <conditionalFormatting sqref="F250">
    <cfRule type="cellIs" dxfId="5" priority="823" operator="lessThan">
      <formula>-4100</formula>
    </cfRule>
  </conditionalFormatting>
  <conditionalFormatting sqref="E250">
    <cfRule type="cellIs" dxfId="4" priority="824" operator="greaterThan">
      <formula>0</formula>
    </cfRule>
  </conditionalFormatting>
  <conditionalFormatting sqref="F64">
    <cfRule type="cellIs" dxfId="5" priority="825" operator="lessThan">
      <formula>-4100</formula>
    </cfRule>
  </conditionalFormatting>
  <conditionalFormatting sqref="F64">
    <cfRule type="cellIs" dxfId="6" priority="826" operator="greaterThanOrEqual">
      <formula>0</formula>
    </cfRule>
  </conditionalFormatting>
  <conditionalFormatting sqref="F64">
    <cfRule type="cellIs" dxfId="6" priority="827" operator="greaterThanOrEqual">
      <formula>0</formula>
    </cfRule>
  </conditionalFormatting>
  <conditionalFormatting sqref="F64">
    <cfRule type="cellIs" dxfId="5" priority="828" operator="lessThan">
      <formula>-4100</formula>
    </cfRule>
  </conditionalFormatting>
  <conditionalFormatting sqref="F64">
    <cfRule type="cellIs" dxfId="6" priority="829" operator="greaterThanOrEqual">
      <formula>0</formula>
    </cfRule>
  </conditionalFormatting>
  <conditionalFormatting sqref="F64">
    <cfRule type="cellIs" dxfId="5" priority="830" operator="lessThan">
      <formula>-4100</formula>
    </cfRule>
  </conditionalFormatting>
  <conditionalFormatting sqref="F64">
    <cfRule type="cellIs" dxfId="6" priority="831" operator="greaterThanOrEqual">
      <formula>0</formula>
    </cfRule>
  </conditionalFormatting>
  <conditionalFormatting sqref="F64">
    <cfRule type="cellIs" dxfId="5" priority="832" operator="lessThan">
      <formula>-4100</formula>
    </cfRule>
  </conditionalFormatting>
  <conditionalFormatting sqref="F64">
    <cfRule type="cellIs" dxfId="6" priority="833" operator="greaterThanOrEqual">
      <formula>0</formula>
    </cfRule>
  </conditionalFormatting>
  <conditionalFormatting sqref="F64">
    <cfRule type="cellIs" dxfId="5" priority="834" operator="lessThan">
      <formula>-4100</formula>
    </cfRule>
  </conditionalFormatting>
  <conditionalFormatting sqref="F64">
    <cfRule type="cellIs" dxfId="5" priority="835" operator="lessThan">
      <formula>-4100</formula>
    </cfRule>
  </conditionalFormatting>
  <conditionalFormatting sqref="F64">
    <cfRule type="cellIs" dxfId="6" priority="836" operator="greaterThanOrEqual">
      <formula>0</formula>
    </cfRule>
  </conditionalFormatting>
  <conditionalFormatting sqref="F64">
    <cfRule type="cellIs" dxfId="6" priority="837" operator="greaterThanOrEqual">
      <formula>0</formula>
    </cfRule>
  </conditionalFormatting>
  <conditionalFormatting sqref="F64">
    <cfRule type="cellIs" dxfId="5" priority="838" operator="lessThan">
      <formula>-4100</formula>
    </cfRule>
  </conditionalFormatting>
  <conditionalFormatting sqref="F64">
    <cfRule type="cellIs" dxfId="6" priority="839" operator="greaterThanOrEqual">
      <formula>0</formula>
    </cfRule>
  </conditionalFormatting>
  <conditionalFormatting sqref="F64">
    <cfRule type="cellIs" dxfId="5" priority="840" operator="lessThan">
      <formula>-4100</formula>
    </cfRule>
  </conditionalFormatting>
  <conditionalFormatting sqref="E64">
    <cfRule type="cellIs" dxfId="4" priority="841" operator="greaterThan">
      <formula>0</formula>
    </cfRule>
  </conditionalFormatting>
  <conditionalFormatting sqref="F69">
    <cfRule type="cellIs" dxfId="5" priority="842" operator="lessThan">
      <formula>-4100</formula>
    </cfRule>
  </conditionalFormatting>
  <conditionalFormatting sqref="F69">
    <cfRule type="cellIs" dxfId="6" priority="843" operator="greaterThanOrEqual">
      <formula>0</formula>
    </cfRule>
  </conditionalFormatting>
  <conditionalFormatting sqref="F69">
    <cfRule type="cellIs" dxfId="6" priority="844" operator="greaterThanOrEqual">
      <formula>0</formula>
    </cfRule>
  </conditionalFormatting>
  <conditionalFormatting sqref="F69">
    <cfRule type="cellIs" dxfId="5" priority="845" operator="lessThan">
      <formula>-4100</formula>
    </cfRule>
  </conditionalFormatting>
  <conditionalFormatting sqref="F69">
    <cfRule type="cellIs" dxfId="6" priority="846" operator="greaterThanOrEqual">
      <formula>0</formula>
    </cfRule>
  </conditionalFormatting>
  <conditionalFormatting sqref="F69">
    <cfRule type="cellIs" dxfId="5" priority="847" operator="lessThan">
      <formula>-4100</formula>
    </cfRule>
  </conditionalFormatting>
  <conditionalFormatting sqref="F69">
    <cfRule type="cellIs" dxfId="6" priority="848" operator="greaterThanOrEqual">
      <formula>0</formula>
    </cfRule>
  </conditionalFormatting>
  <conditionalFormatting sqref="F69">
    <cfRule type="cellIs" dxfId="5" priority="849" operator="lessThan">
      <formula>-4100</formula>
    </cfRule>
  </conditionalFormatting>
  <conditionalFormatting sqref="F69">
    <cfRule type="cellIs" dxfId="6" priority="850" operator="greaterThanOrEqual">
      <formula>0</formula>
    </cfRule>
  </conditionalFormatting>
  <conditionalFormatting sqref="F69">
    <cfRule type="cellIs" dxfId="5" priority="851" operator="lessThan">
      <formula>-4100</formula>
    </cfRule>
  </conditionalFormatting>
  <conditionalFormatting sqref="F69">
    <cfRule type="cellIs" dxfId="5" priority="852" operator="lessThan">
      <formula>-4100</formula>
    </cfRule>
  </conditionalFormatting>
  <conditionalFormatting sqref="F69">
    <cfRule type="cellIs" dxfId="6" priority="853" operator="greaterThanOrEqual">
      <formula>0</formula>
    </cfRule>
  </conditionalFormatting>
  <conditionalFormatting sqref="F69">
    <cfRule type="cellIs" dxfId="6" priority="854" operator="greaterThanOrEqual">
      <formula>0</formula>
    </cfRule>
  </conditionalFormatting>
  <conditionalFormatting sqref="F69">
    <cfRule type="cellIs" dxfId="5" priority="855" operator="lessThan">
      <formula>-4100</formula>
    </cfRule>
  </conditionalFormatting>
  <conditionalFormatting sqref="F69">
    <cfRule type="cellIs" dxfId="6" priority="856" operator="greaterThanOrEqual">
      <formula>0</formula>
    </cfRule>
  </conditionalFormatting>
  <conditionalFormatting sqref="F69">
    <cfRule type="cellIs" dxfId="5" priority="857" operator="lessThan">
      <formula>-4100</formula>
    </cfRule>
  </conditionalFormatting>
  <conditionalFormatting sqref="E69">
    <cfRule type="cellIs" dxfId="4" priority="858" operator="greaterThan">
      <formula>0</formula>
    </cfRule>
  </conditionalFormatting>
  <conditionalFormatting sqref="F190">
    <cfRule type="cellIs" dxfId="5" priority="859" operator="lessThan">
      <formula>-4100</formula>
    </cfRule>
  </conditionalFormatting>
  <conditionalFormatting sqref="F190">
    <cfRule type="cellIs" dxfId="6" priority="860" operator="greaterThanOrEqual">
      <formula>0</formula>
    </cfRule>
  </conditionalFormatting>
  <conditionalFormatting sqref="F190">
    <cfRule type="cellIs" dxfId="6" priority="861" operator="greaterThanOrEqual">
      <formula>0</formula>
    </cfRule>
  </conditionalFormatting>
  <conditionalFormatting sqref="F190">
    <cfRule type="cellIs" dxfId="5" priority="862" operator="lessThan">
      <formula>-4100</formula>
    </cfRule>
  </conditionalFormatting>
  <conditionalFormatting sqref="F190">
    <cfRule type="cellIs" dxfId="6" priority="863" operator="greaterThanOrEqual">
      <formula>0</formula>
    </cfRule>
  </conditionalFormatting>
  <conditionalFormatting sqref="F190">
    <cfRule type="cellIs" dxfId="5" priority="864" operator="lessThan">
      <formula>-4100</formula>
    </cfRule>
  </conditionalFormatting>
  <conditionalFormatting sqref="F190">
    <cfRule type="cellIs" dxfId="6" priority="865" operator="greaterThanOrEqual">
      <formula>0</formula>
    </cfRule>
  </conditionalFormatting>
  <conditionalFormatting sqref="F190">
    <cfRule type="cellIs" dxfId="5" priority="866" operator="lessThan">
      <formula>-4100</formula>
    </cfRule>
  </conditionalFormatting>
  <conditionalFormatting sqref="F190">
    <cfRule type="cellIs" dxfId="6" priority="867" operator="greaterThanOrEqual">
      <formula>0</formula>
    </cfRule>
  </conditionalFormatting>
  <conditionalFormatting sqref="F190">
    <cfRule type="cellIs" dxfId="5" priority="868" operator="lessThan">
      <formula>-4100</formula>
    </cfRule>
  </conditionalFormatting>
  <conditionalFormatting sqref="E190">
    <cfRule type="cellIs" dxfId="4" priority="869" operator="greaterThan">
      <formula>0</formula>
    </cfRule>
  </conditionalFormatting>
  <conditionalFormatting sqref="F190">
    <cfRule type="cellIs" dxfId="6" priority="870" operator="greaterThanOrEqual">
      <formula>0</formula>
    </cfRule>
  </conditionalFormatting>
  <conditionalFormatting sqref="F190">
    <cfRule type="cellIs" dxfId="5" priority="871" operator="lessThan">
      <formula>-4100</formula>
    </cfRule>
  </conditionalFormatting>
  <conditionalFormatting sqref="F190">
    <cfRule type="cellIs" dxfId="6" priority="872" operator="greaterThanOrEqual">
      <formula>0</formula>
    </cfRule>
  </conditionalFormatting>
  <conditionalFormatting sqref="F190">
    <cfRule type="cellIs" dxfId="5" priority="873" operator="lessThan">
      <formula>-4100</formula>
    </cfRule>
  </conditionalFormatting>
  <conditionalFormatting sqref="F190">
    <cfRule type="cellIs" dxfId="6" priority="874" operator="greaterThanOrEqual">
      <formula>0</formula>
    </cfRule>
  </conditionalFormatting>
  <conditionalFormatting sqref="F190">
    <cfRule type="cellIs" dxfId="5" priority="875" operator="lessThan">
      <formula>-4100</formula>
    </cfRule>
  </conditionalFormatting>
  <conditionalFormatting sqref="F245">
    <cfRule type="cellIs" dxfId="6" priority="876" operator="greaterThanOrEqual">
      <formula>0</formula>
    </cfRule>
  </conditionalFormatting>
  <conditionalFormatting sqref="F245">
    <cfRule type="cellIs" dxfId="5" priority="877" operator="lessThan">
      <formula>-4100</formula>
    </cfRule>
  </conditionalFormatting>
  <conditionalFormatting sqref="F245">
    <cfRule type="cellIs" dxfId="6" priority="878" operator="greaterThanOrEqual">
      <formula>0</formula>
    </cfRule>
  </conditionalFormatting>
  <conditionalFormatting sqref="F245">
    <cfRule type="cellIs" dxfId="5" priority="879" operator="lessThan">
      <formula>-4100</formula>
    </cfRule>
  </conditionalFormatting>
  <conditionalFormatting sqref="F245">
    <cfRule type="cellIs" dxfId="6" priority="880" operator="greaterThanOrEqual">
      <formula>0</formula>
    </cfRule>
  </conditionalFormatting>
  <conditionalFormatting sqref="F245">
    <cfRule type="cellIs" dxfId="5" priority="881" operator="lessThan">
      <formula>-4100</formula>
    </cfRule>
  </conditionalFormatting>
  <conditionalFormatting sqref="F245">
    <cfRule type="cellIs" dxfId="6" priority="882" operator="greaterThanOrEqual">
      <formula>0</formula>
    </cfRule>
  </conditionalFormatting>
  <conditionalFormatting sqref="F245">
    <cfRule type="cellIs" dxfId="5" priority="883" operator="lessThan">
      <formula>-4100</formula>
    </cfRule>
  </conditionalFormatting>
  <conditionalFormatting sqref="F245">
    <cfRule type="cellIs" dxfId="6" priority="884" operator="greaterThanOrEqual">
      <formula>0</formula>
    </cfRule>
  </conditionalFormatting>
  <conditionalFormatting sqref="F245">
    <cfRule type="cellIs" dxfId="5" priority="885" operator="lessThan">
      <formula>-4100</formula>
    </cfRule>
  </conditionalFormatting>
  <conditionalFormatting sqref="F245">
    <cfRule type="cellIs" dxfId="6" priority="886" operator="greaterThanOrEqual">
      <formula>0</formula>
    </cfRule>
  </conditionalFormatting>
  <conditionalFormatting sqref="F245">
    <cfRule type="cellIs" dxfId="5" priority="887" operator="lessThan">
      <formula>-4100</formula>
    </cfRule>
  </conditionalFormatting>
  <conditionalFormatting sqref="F245">
    <cfRule type="cellIs" dxfId="6" priority="888" operator="greaterThanOrEqual">
      <formula>0</formula>
    </cfRule>
  </conditionalFormatting>
  <conditionalFormatting sqref="F245">
    <cfRule type="cellIs" dxfId="5" priority="889" operator="lessThan">
      <formula>-4100</formula>
    </cfRule>
  </conditionalFormatting>
  <conditionalFormatting sqref="F245">
    <cfRule type="cellIs" dxfId="6" priority="890" operator="greaterThanOrEqual">
      <formula>0</formula>
    </cfRule>
  </conditionalFormatting>
  <conditionalFormatting sqref="F245">
    <cfRule type="cellIs" dxfId="5" priority="891" operator="lessThan">
      <formula>-4100</formula>
    </cfRule>
  </conditionalFormatting>
  <conditionalFormatting sqref="E245">
    <cfRule type="cellIs" dxfId="4" priority="892" operator="greaterThan">
      <formula>0</formula>
    </cfRule>
  </conditionalFormatting>
  <conditionalFormatting sqref="F34">
    <cfRule type="cellIs" dxfId="5" priority="893" operator="lessThan">
      <formula>-4100</formula>
    </cfRule>
  </conditionalFormatting>
  <conditionalFormatting sqref="F34">
    <cfRule type="cellIs" dxfId="6" priority="894" operator="greaterThanOrEqual">
      <formula>0</formula>
    </cfRule>
  </conditionalFormatting>
  <conditionalFormatting sqref="F34">
    <cfRule type="cellIs" dxfId="6" priority="895" operator="greaterThanOrEqual">
      <formula>0</formula>
    </cfRule>
  </conditionalFormatting>
  <conditionalFormatting sqref="F34">
    <cfRule type="cellIs" dxfId="5" priority="896" operator="lessThan">
      <formula>-4100</formula>
    </cfRule>
  </conditionalFormatting>
  <conditionalFormatting sqref="F34">
    <cfRule type="cellIs" dxfId="6" priority="897" operator="greaterThanOrEqual">
      <formula>0</formula>
    </cfRule>
  </conditionalFormatting>
  <conditionalFormatting sqref="F34">
    <cfRule type="cellIs" dxfId="5" priority="898" operator="lessThan">
      <formula>-4100</formula>
    </cfRule>
  </conditionalFormatting>
  <conditionalFormatting sqref="F34">
    <cfRule type="cellIs" dxfId="6" priority="899" operator="greaterThanOrEqual">
      <formula>0</formula>
    </cfRule>
  </conditionalFormatting>
  <conditionalFormatting sqref="F34">
    <cfRule type="cellIs" dxfId="5" priority="900" operator="lessThan">
      <formula>-4100</formula>
    </cfRule>
  </conditionalFormatting>
  <conditionalFormatting sqref="F34">
    <cfRule type="cellIs" dxfId="6" priority="901" operator="greaterThanOrEqual">
      <formula>0</formula>
    </cfRule>
  </conditionalFormatting>
  <conditionalFormatting sqref="F34">
    <cfRule type="cellIs" dxfId="5" priority="902" operator="lessThan">
      <formula>-4100</formula>
    </cfRule>
  </conditionalFormatting>
  <conditionalFormatting sqref="F34">
    <cfRule type="cellIs" dxfId="5" priority="903" operator="lessThan">
      <formula>-4100</formula>
    </cfRule>
  </conditionalFormatting>
  <conditionalFormatting sqref="F34">
    <cfRule type="cellIs" dxfId="6" priority="904" operator="greaterThanOrEqual">
      <formula>0</formula>
    </cfRule>
  </conditionalFormatting>
  <conditionalFormatting sqref="F34">
    <cfRule type="cellIs" dxfId="6" priority="905" operator="greaterThanOrEqual">
      <formula>0</formula>
    </cfRule>
  </conditionalFormatting>
  <conditionalFormatting sqref="F34">
    <cfRule type="cellIs" dxfId="5" priority="906" operator="lessThan">
      <formula>-4100</formula>
    </cfRule>
  </conditionalFormatting>
  <conditionalFormatting sqref="F34">
    <cfRule type="cellIs" dxfId="6" priority="907" operator="greaterThanOrEqual">
      <formula>0</formula>
    </cfRule>
  </conditionalFormatting>
  <conditionalFormatting sqref="F34">
    <cfRule type="cellIs" dxfId="5" priority="908" operator="lessThan">
      <formula>-4100</formula>
    </cfRule>
  </conditionalFormatting>
  <conditionalFormatting sqref="E34">
    <cfRule type="cellIs" dxfId="4" priority="909" operator="greaterThan">
      <formula>0</formula>
    </cfRule>
  </conditionalFormatting>
  <conditionalFormatting sqref="F139">
    <cfRule type="cellIs" dxfId="5" priority="910" operator="lessThan">
      <formula>-4100</formula>
    </cfRule>
  </conditionalFormatting>
  <conditionalFormatting sqref="F139">
    <cfRule type="cellIs" dxfId="6" priority="911" operator="greaterThanOrEqual">
      <formula>0</formula>
    </cfRule>
  </conditionalFormatting>
  <conditionalFormatting sqref="F139">
    <cfRule type="cellIs" dxfId="6" priority="912" operator="greaterThanOrEqual">
      <formula>0</formula>
    </cfRule>
  </conditionalFormatting>
  <conditionalFormatting sqref="F139">
    <cfRule type="cellIs" dxfId="5" priority="913" operator="lessThan">
      <formula>-4100</formula>
    </cfRule>
  </conditionalFormatting>
  <conditionalFormatting sqref="F139">
    <cfRule type="cellIs" dxfId="6" priority="914" operator="greaterThanOrEqual">
      <formula>0</formula>
    </cfRule>
  </conditionalFormatting>
  <conditionalFormatting sqref="F139">
    <cfRule type="cellIs" dxfId="5" priority="915" operator="lessThan">
      <formula>-4100</formula>
    </cfRule>
  </conditionalFormatting>
  <conditionalFormatting sqref="F139">
    <cfRule type="cellIs" dxfId="6" priority="916" operator="greaterThanOrEqual">
      <formula>0</formula>
    </cfRule>
  </conditionalFormatting>
  <conditionalFormatting sqref="F139">
    <cfRule type="cellIs" dxfId="5" priority="917" operator="lessThan">
      <formula>-4100</formula>
    </cfRule>
  </conditionalFormatting>
  <conditionalFormatting sqref="F139">
    <cfRule type="cellIs" dxfId="6" priority="918" operator="greaterThanOrEqual">
      <formula>0</formula>
    </cfRule>
  </conditionalFormatting>
  <conditionalFormatting sqref="F139">
    <cfRule type="cellIs" dxfId="5" priority="919" operator="lessThan">
      <formula>-4100</formula>
    </cfRule>
  </conditionalFormatting>
  <conditionalFormatting sqref="F139">
    <cfRule type="cellIs" dxfId="5" priority="920" operator="lessThan">
      <formula>-4100</formula>
    </cfRule>
  </conditionalFormatting>
  <conditionalFormatting sqref="F139">
    <cfRule type="cellIs" dxfId="6" priority="921" operator="greaterThanOrEqual">
      <formula>0</formula>
    </cfRule>
  </conditionalFormatting>
  <conditionalFormatting sqref="F139">
    <cfRule type="cellIs" dxfId="6" priority="922" operator="greaterThanOrEqual">
      <formula>0</formula>
    </cfRule>
  </conditionalFormatting>
  <conditionalFormatting sqref="F139">
    <cfRule type="cellIs" dxfId="5" priority="923" operator="lessThan">
      <formula>-4100</formula>
    </cfRule>
  </conditionalFormatting>
  <conditionalFormatting sqref="F139">
    <cfRule type="cellIs" dxfId="6" priority="924" operator="greaterThanOrEqual">
      <formula>0</formula>
    </cfRule>
  </conditionalFormatting>
  <conditionalFormatting sqref="F139">
    <cfRule type="cellIs" dxfId="5" priority="925" operator="lessThan">
      <formula>-4100</formula>
    </cfRule>
  </conditionalFormatting>
  <conditionalFormatting sqref="E139">
    <cfRule type="cellIs" dxfId="4" priority="926" operator="greaterThan">
      <formula>0</formula>
    </cfRule>
  </conditionalFormatting>
  <conditionalFormatting sqref="F220">
    <cfRule type="cellIs" dxfId="5" priority="927" operator="lessThan">
      <formula>-4100</formula>
    </cfRule>
  </conditionalFormatting>
  <conditionalFormatting sqref="F220">
    <cfRule type="cellIs" dxfId="6" priority="928" operator="greaterThanOrEqual">
      <formula>0</formula>
    </cfRule>
  </conditionalFormatting>
  <conditionalFormatting sqref="F220">
    <cfRule type="cellIs" dxfId="6" priority="929" operator="greaterThanOrEqual">
      <formula>0</formula>
    </cfRule>
  </conditionalFormatting>
  <conditionalFormatting sqref="F220">
    <cfRule type="cellIs" dxfId="5" priority="930" operator="lessThan">
      <formula>-4100</formula>
    </cfRule>
  </conditionalFormatting>
  <conditionalFormatting sqref="F220">
    <cfRule type="cellIs" dxfId="6" priority="931" operator="greaterThanOrEqual">
      <formula>0</formula>
    </cfRule>
  </conditionalFormatting>
  <conditionalFormatting sqref="F220">
    <cfRule type="cellIs" dxfId="5" priority="932" operator="lessThan">
      <formula>-4100</formula>
    </cfRule>
  </conditionalFormatting>
  <conditionalFormatting sqref="F220">
    <cfRule type="cellIs" dxfId="6" priority="933" operator="greaterThanOrEqual">
      <formula>0</formula>
    </cfRule>
  </conditionalFormatting>
  <conditionalFormatting sqref="F220">
    <cfRule type="cellIs" dxfId="5" priority="934" operator="lessThan">
      <formula>-4100</formula>
    </cfRule>
  </conditionalFormatting>
  <conditionalFormatting sqref="E220">
    <cfRule type="cellIs" dxfId="4" priority="935" operator="greaterThan">
      <formula>0</formula>
    </cfRule>
  </conditionalFormatting>
  <conditionalFormatting sqref="F74">
    <cfRule type="cellIs" dxfId="5" priority="936" operator="lessThan">
      <formula>-4100</formula>
    </cfRule>
  </conditionalFormatting>
  <conditionalFormatting sqref="F74">
    <cfRule type="cellIs" dxfId="6" priority="937" operator="greaterThanOrEqual">
      <formula>0</formula>
    </cfRule>
  </conditionalFormatting>
  <conditionalFormatting sqref="F74">
    <cfRule type="cellIs" dxfId="6" priority="938" operator="greaterThanOrEqual">
      <formula>0</formula>
    </cfRule>
  </conditionalFormatting>
  <conditionalFormatting sqref="F74">
    <cfRule type="cellIs" dxfId="5" priority="939" operator="lessThan">
      <formula>-4100</formula>
    </cfRule>
  </conditionalFormatting>
  <conditionalFormatting sqref="F74">
    <cfRule type="cellIs" dxfId="6" priority="940" operator="greaterThanOrEqual">
      <formula>0</formula>
    </cfRule>
  </conditionalFormatting>
  <conditionalFormatting sqref="F74">
    <cfRule type="cellIs" dxfId="5" priority="941" operator="lessThan">
      <formula>-4100</formula>
    </cfRule>
  </conditionalFormatting>
  <conditionalFormatting sqref="F74">
    <cfRule type="cellIs" dxfId="6" priority="942" operator="greaterThanOrEqual">
      <formula>0</formula>
    </cfRule>
  </conditionalFormatting>
  <conditionalFormatting sqref="F74">
    <cfRule type="cellIs" dxfId="5" priority="943" operator="lessThan">
      <formula>-4100</formula>
    </cfRule>
  </conditionalFormatting>
  <conditionalFormatting sqref="F74">
    <cfRule type="cellIs" dxfId="6" priority="944" operator="greaterThanOrEqual">
      <formula>0</formula>
    </cfRule>
  </conditionalFormatting>
  <conditionalFormatting sqref="F74">
    <cfRule type="cellIs" dxfId="5" priority="945" operator="lessThan">
      <formula>-4100</formula>
    </cfRule>
  </conditionalFormatting>
  <conditionalFormatting sqref="F74">
    <cfRule type="cellIs" dxfId="5" priority="946" operator="lessThan">
      <formula>-4100</formula>
    </cfRule>
  </conditionalFormatting>
  <conditionalFormatting sqref="F74">
    <cfRule type="cellIs" dxfId="6" priority="947" operator="greaterThanOrEqual">
      <formula>0</formula>
    </cfRule>
  </conditionalFormatting>
  <conditionalFormatting sqref="F74">
    <cfRule type="cellIs" dxfId="6" priority="948" operator="greaterThanOrEqual">
      <formula>0</formula>
    </cfRule>
  </conditionalFormatting>
  <conditionalFormatting sqref="F74">
    <cfRule type="cellIs" dxfId="5" priority="949" operator="lessThan">
      <formula>-4100</formula>
    </cfRule>
  </conditionalFormatting>
  <conditionalFormatting sqref="F74">
    <cfRule type="cellIs" dxfId="6" priority="950" operator="greaterThanOrEqual">
      <formula>0</formula>
    </cfRule>
  </conditionalFormatting>
  <conditionalFormatting sqref="F74">
    <cfRule type="cellIs" dxfId="5" priority="951" operator="lessThan">
      <formula>-4100</formula>
    </cfRule>
  </conditionalFormatting>
  <conditionalFormatting sqref="E74">
    <cfRule type="cellIs" dxfId="4" priority="952" operator="greaterThan">
      <formula>0</formula>
    </cfRule>
  </conditionalFormatting>
  <conditionalFormatting sqref="F134">
    <cfRule type="cellIs" dxfId="5" priority="953" operator="lessThan">
      <formula>-4100</formula>
    </cfRule>
  </conditionalFormatting>
  <conditionalFormatting sqref="F134">
    <cfRule type="cellIs" dxfId="6" priority="954" operator="greaterThanOrEqual">
      <formula>0</formula>
    </cfRule>
  </conditionalFormatting>
  <conditionalFormatting sqref="F134">
    <cfRule type="cellIs" dxfId="6" priority="955" operator="greaterThanOrEqual">
      <formula>0</formula>
    </cfRule>
  </conditionalFormatting>
  <conditionalFormatting sqref="F134">
    <cfRule type="cellIs" dxfId="5" priority="956" operator="lessThan">
      <formula>-4100</formula>
    </cfRule>
  </conditionalFormatting>
  <conditionalFormatting sqref="F134">
    <cfRule type="cellIs" dxfId="6" priority="957" operator="greaterThanOrEqual">
      <formula>0</formula>
    </cfRule>
  </conditionalFormatting>
  <conditionalFormatting sqref="F134">
    <cfRule type="cellIs" dxfId="5" priority="958" operator="lessThan">
      <formula>-4100</formula>
    </cfRule>
  </conditionalFormatting>
  <conditionalFormatting sqref="F134">
    <cfRule type="cellIs" dxfId="6" priority="959" operator="greaterThanOrEqual">
      <formula>0</formula>
    </cfRule>
  </conditionalFormatting>
  <conditionalFormatting sqref="F134">
    <cfRule type="cellIs" dxfId="5" priority="960" operator="lessThan">
      <formula>-4100</formula>
    </cfRule>
  </conditionalFormatting>
  <conditionalFormatting sqref="F134">
    <cfRule type="cellIs" dxfId="6" priority="961" operator="greaterThanOrEqual">
      <formula>0</formula>
    </cfRule>
  </conditionalFormatting>
  <conditionalFormatting sqref="F134">
    <cfRule type="cellIs" dxfId="5" priority="962" operator="lessThan">
      <formula>-4100</formula>
    </cfRule>
  </conditionalFormatting>
  <conditionalFormatting sqref="F134">
    <cfRule type="cellIs" dxfId="5" priority="963" operator="lessThan">
      <formula>-4100</formula>
    </cfRule>
  </conditionalFormatting>
  <conditionalFormatting sqref="F134">
    <cfRule type="cellIs" dxfId="6" priority="964" operator="greaterThanOrEqual">
      <formula>0</formula>
    </cfRule>
  </conditionalFormatting>
  <conditionalFormatting sqref="F134">
    <cfRule type="cellIs" dxfId="6" priority="965" operator="greaterThanOrEqual">
      <formula>0</formula>
    </cfRule>
  </conditionalFormatting>
  <conditionalFormatting sqref="F134">
    <cfRule type="cellIs" dxfId="5" priority="966" operator="lessThan">
      <formula>-4100</formula>
    </cfRule>
  </conditionalFormatting>
  <conditionalFormatting sqref="F134">
    <cfRule type="cellIs" dxfId="6" priority="967" operator="greaterThanOrEqual">
      <formula>0</formula>
    </cfRule>
  </conditionalFormatting>
  <conditionalFormatting sqref="F134">
    <cfRule type="cellIs" dxfId="5" priority="968" operator="lessThan">
      <formula>-4100</formula>
    </cfRule>
  </conditionalFormatting>
  <conditionalFormatting sqref="E134">
    <cfRule type="cellIs" dxfId="4" priority="969" operator="greater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4">
      <vt:variant>
        <vt:lpstr>工作表</vt:lpstr>
      </vt:variant>
      <vt:variant>
        <vt:i4>1</vt:i4>
      </vt:variant>
      <vt:variant>
        <vt:lpstr>已命名的範圍</vt:lpstr>
      </vt:variant>
      <vt:variant>
        <vt:i4>5</vt:i4>
      </vt:variant>
    </vt:vector>
  </HeadingPairs>
  <TitlesOfParts>
    <vt:vector baseType="lpstr" size="6">
      <vt:lpstr>Sheet1</vt:lpstr>
      <vt:lpstr>byd</vt:lpstr>
      <vt:lpstr>hkex</vt:lpstr>
      <vt:lpstr>sun</vt:lpstr>
      <vt:lpstr>ub</vt:lpstr>
      <vt:lpstr>zte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2020-10-22T02:36:49Z</dcterms:created>
  <dc:creator>Chuck Chan</dc:creator>
  <cp:lastModifiedBy>USER</cp:lastModifiedBy>
  <dcterms:modified xsi:type="dcterms:W3CDTF">2026-09-22T12:23:58Z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0x010100934EDC9DC782D34982DFF76E84D12DA9</vt:lpwstr>
  </property>
</Properties>
</file>