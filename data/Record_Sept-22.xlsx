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name="byd">Sheet1!$I$528</definedName>
    <definedName name="hkex">Sheet1!$I$513</definedName>
    <definedName name="zte">Sheet1!$I$438</definedName>
    <definedName name="sun">Sheet1!$I$774</definedName>
    <definedName name="ub">Sheet1!$I$684</definedName>
  </definedNames>
  <calcPr/>
</workbook>
</file>

<file path=xl/sharedStrings.xml><?xml version="1.0" encoding="utf-8"?>
<sst xmlns="http://schemas.openxmlformats.org/spreadsheetml/2006/main" count="689" uniqueCount="42">
  <si>
    <t>Stock</t>
  </si>
  <si>
    <t>2021 派息日</t>
  </si>
  <si>
    <t>OLD</t>
  </si>
  <si>
    <t>TODAY</t>
  </si>
  <si>
    <t>Stocks</t>
  </si>
  <si>
    <t>Amount</t>
  </si>
  <si>
    <t>2021 派息</t>
  </si>
  <si>
    <t>Balance</t>
  </si>
  <si>
    <t>Done</t>
  </si>
  <si>
    <t>old</t>
  </si>
  <si>
    <t>Year</t>
  </si>
  <si>
    <t>Date</t>
  </si>
  <si>
    <t>Operation Cost</t>
  </si>
  <si>
    <t>Sum</t>
  </si>
  <si>
    <t>Sell</t>
  </si>
  <si>
    <t>Buy</t>
  </si>
  <si>
    <t>Earn</t>
  </si>
  <si>
    <t>9888 BAIDU</t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</si>
  <si>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</si>
  <si>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</si>
  <si>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t>9888 Baidu</t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</si>
  <si>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</si>
  <si>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</si>
  <si>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t>Base</t>
  </si>
  <si>
    <t>Now</t>
  </si>
  <si>
    <t>Change</t>
  </si>
  <si>
    <t>HS</t>
  </si>
  <si>
    <t>TB</t>
  </si>
  <si>
    <t>7WYS0%</t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</si>
  <si>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</si>
  <si>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</si>
  <si>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</si>
  <si>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</si>
  <si>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</si>
  <si>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</si>
  <si>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</si>
  <si>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</si>
  <si>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</si>
  <si>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</si>
  <si>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</si>
  <si>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</si>
  <si>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t>9888 Bidu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</si>
</sst>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_ "/>
    <numFmt numFmtId="165" formatCode="_-[$$-3C09]* #,##0.00_-;\-[$$-3C09]* #,##0.00_-;_-[$$-3C09]* &quot;-&quot;??_-;_-@"/>
  </numFmts>
  <fonts count="4">
    <font>
      <sz val="11.0"/>
      <color rgb="FF000000"/>
      <name val="Arial"/>
      <scheme val="minor"/>
    </font>
    <font>
      <sz val="11.0"/>
      <name val="PMingLiu"/>
    </font>
    <font>
      <sz val="11.0"/>
      <color rgb="FF000000"/>
      <name val="PMingLiu"/>
    </font>
    <font>
      <sz val="11.0"/>
      <color rgb="FFFF0000"/>
      <name val="PMingLiu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DEEAF6"/>
        <bgColor rgb="FFDEEAF6"/>
      </patternFill>
    </fill>
    <fill>
      <patternFill patternType="solid">
        <fgColor rgb="FFFFC000"/>
        <bgColor rgb="FFFFC000"/>
      </patternFill>
    </fill>
  </fills>
  <borders count="6">
    <border/>
    <border>
      <left/>
      <right/>
      <top/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16" xfId="0" applyFont="1" applyNumberFormat="1"/>
    <xf borderId="0" fillId="0" fontId="1" numFmtId="10" xfId="0" applyFont="1" applyNumberFormat="1"/>
    <xf borderId="0" fillId="0" fontId="1" numFmtId="164" xfId="0" applyFont="1" applyNumberFormat="1"/>
    <xf borderId="1" fillId="2" fontId="1" numFmtId="0" xfId="0" applyBorder="1" applyFill="1" applyFont="1"/>
    <xf borderId="0" fillId="0" fontId="1" numFmtId="17" xfId="0" applyFont="1" applyNumberFormat="1"/>
    <xf borderId="0" fillId="0" fontId="1" numFmtId="0" xfId="0" applyFont="1"/>
    <xf borderId="1" fillId="3" fontId="1" numFmtId="0" xfId="0" applyBorder="1" applyFill="1" applyFont="1"/>
    <xf borderId="0" fillId="0" fontId="1" numFmtId="14" xfId="0" applyFont="1" applyNumberFormat="1"/>
    <xf borderId="0" fillId="0" fontId="2" numFmtId="16" xfId="0" applyFont="1" applyNumberFormat="1"/>
    <xf borderId="1" fillId="4" fontId="1" numFmtId="0" xfId="0" applyBorder="1" applyFill="1" applyFont="1"/>
    <xf borderId="0" fillId="0" fontId="1" numFmtId="165" xfId="0" applyFont="1" applyNumberFormat="1"/>
    <xf borderId="0" fillId="0" fontId="2" numFmtId="0" xfId="0" applyFont="1"/>
    <xf borderId="0" fillId="0" fontId="2" numFmtId="165" xfId="0" applyFont="1" applyNumberFormat="1"/>
    <xf borderId="1" fillId="2" fontId="1" numFmtId="10" xfId="0" applyBorder="1" applyFill="1" applyFont="1" applyNumberFormat="1"/>
    <xf borderId="1" fillId="2" fontId="1" numFmtId="164" xfId="0" applyBorder="1" applyFill="1" applyFont="1" applyNumberFormat="1"/>
    <xf borderId="1" fillId="5" fontId="1" numFmtId="0" xfId="0" applyBorder="1" applyFill="1" applyFont="1"/>
    <xf borderId="2" fillId="0" fontId="1" numFmtId="165" xfId="0" applyBorder="1" applyFont="1" applyNumberFormat="1"/>
    <xf borderId="3" fillId="0" fontId="1" numFmtId="0" xfId="0" applyBorder="1" applyFont="1"/>
    <xf borderId="4" fillId="0" fontId="1" numFmtId="165" xfId="0" applyBorder="1" applyFont="1" applyNumberFormat="1"/>
    <xf borderId="5" fillId="0" fontId="1" numFmtId="0" xfId="0" applyBorder="1" applyFont="1"/>
    <xf borderId="0" fillId="0" fontId="3" numFmtId="165" xfId="0" applyFont="1" applyNumberFormat="1"/>
    <xf borderId="1" fillId="2" fontId="2" numFmtId="0" xfId="0" applyBorder="1" applyFill="1" applyFont="1"/>
    <xf borderId="1" fillId="3" fontId="2" numFmtId="0" xfId="0" applyBorder="1" applyFill="1" applyFont="1"/>
    <xf borderId="1" fillId="3" fontId="2" numFmtId="16" xfId="0" applyBorder="1" applyFill="1" applyFont="1" applyNumberFormat="1"/>
    <xf borderId="1" fillId="3" fontId="1" numFmtId="164" xfId="0" applyBorder="1" applyFill="1" applyFont="1" applyNumberFormat="1"/>
    <xf borderId="1" fillId="3" fontId="1" numFmtId="165" xfId="0" applyBorder="1" applyFill="1" applyFont="1" applyNumberFormat="1"/>
    <xf borderId="1" fillId="3" fontId="2" numFmtId="165" xfId="0" applyBorder="1" applyFill="1" applyFont="1" applyNumberFormat="1"/>
    <xf borderId="1" fillId="3" fontId="1" numFmtId="10" xfId="0" applyBorder="1" applyFill="1" applyFont="1" applyNumberFormat="1"/>
    <xf borderId="1" fillId="6" fontId="2" numFmtId="0" xfId="0" applyBorder="1" applyFill="1" applyFont="1"/>
  </cellXfs>
  <cellStyles count="1">
    <cellStyle xfId="0" name="Normal" builtinId="0"/>
  </cellStyles>
  <dxfs count="7">
    <dxf>
      <font/>
      <fill>
        <patternFill patternType="solid">
          <fgColor rgb="FF7B7B7B"/>
          <bgColor rgb="FF7B7B7B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/>
      <fill>
        <patternFill patternType="solid">
          <fgColor rgb="FF7F7F7F"/>
          <bgColor rgb="FF7F7F7F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1.71"/>
    <col customWidth="1" min="3" max="3" width="9.0"/>
    <col customWidth="1" min="4" max="4" width="11.0"/>
    <col customWidth="1" min="5" max="5" width="14.43"/>
    <col customWidth="1" min="6" max="6" width="14.0"/>
    <col customWidth="1" min="7" max="7" width="6.86"/>
    <col customWidth="1" min="8" max="8" width="10.0"/>
    <col customWidth="1" min="9" max="9" width="10.57"/>
    <col customWidth="1" min="10" max="10" width="11.71"/>
    <col customWidth="1" min="11" max="11" width="13.43"/>
    <col customWidth="1" min="12" max="16" width="8.71"/>
    <col customWidth="1" min="17" max="17" width="11.29"/>
    <col customWidth="1" min="18" max="18" width="8.71"/>
    <col customWidth="1" min="19" max="19" width="11.86"/>
    <col customWidth="1" min="20" max="24" width="8.71"/>
    <col customWidth="1" min="25" max="25" width="11.0"/>
    <col customWidth="1" min="26" max="26" width="11.43"/>
  </cols>
  <sheetData>
    <row r="1">
      <c r="A1" s="1"/>
      <c r="H1" s="2"/>
      <c r="J1" t="s">
        <v>0</v>
      </c>
      <c r="K1" t="s">
        <v>1</v>
      </c>
      <c r="L1" t="s">
        <v>2</v>
      </c>
      <c r="N1" t="s">
        <v>3</v>
      </c>
      <c r="O1" t="s">
        <v>4</v>
      </c>
      <c r="P1" t="s">
        <v>5</v>
      </c>
      <c r="Q1" s="3"/>
      <c r="R1" t="s">
        <v>6</v>
      </c>
      <c r="S1" t="s">
        <v>7</v>
      </c>
      <c r="Z1" s="3"/>
    </row>
    <row r="2">
      <c r="H2" s="2"/>
      <c r="J2">
        <v>3.0</v>
      </c>
      <c r="K2" t="s">
        <v>8</v>
      </c>
      <c r="L2">
        <v>12.75</v>
      </c>
      <c r="M2" t="s">
        <v>9</v>
      </c>
      <c r="N2">
        <v>11.76</v>
      </c>
      <c r="O2">
        <v>22182.0</v>
      </c>
      <c r="Q2" s="3" t="str">
        <f t="shared" ref="Q2:Q8" si="1">(N2-L2)*O2</f>
        <v>-21,960.18 </v>
      </c>
      <c r="R2" t="str">
        <f>0.23*O2</f>
        <v>5101.86</v>
      </c>
      <c r="S2" s="3" t="str">
        <f t="shared" ref="S2:S8" si="2">SUM(Q2:R2)</f>
        <v>-16,858.32 </v>
      </c>
      <c r="Z2" s="3"/>
    </row>
    <row r="3">
      <c r="H3" s="2"/>
      <c r="J3">
        <v>939.0</v>
      </c>
      <c r="K3" s="1">
        <v>44416.0</v>
      </c>
      <c r="L3">
        <v>6.6</v>
      </c>
      <c r="M3" t="s">
        <v>9</v>
      </c>
      <c r="N3">
        <v>5.85</v>
      </c>
      <c r="O3">
        <v>16000.0</v>
      </c>
      <c r="Q3" s="3" t="str">
        <f t="shared" si="1"/>
        <v>-12,000.00 </v>
      </c>
      <c r="R3" t="str">
        <f>0.39*O3</f>
        <v>6240</v>
      </c>
      <c r="S3" s="3" t="str">
        <f t="shared" si="2"/>
        <v>-5,760.00 </v>
      </c>
      <c r="Z3" s="3"/>
    </row>
    <row r="4">
      <c r="A4" t="s">
        <v>10</v>
      </c>
      <c r="B4" t="s">
        <v>11</v>
      </c>
      <c r="H4" s="2"/>
      <c r="J4">
        <v>6030.0</v>
      </c>
      <c r="K4" s="1">
        <v>44439.0</v>
      </c>
      <c r="L4">
        <v>15.7</v>
      </c>
      <c r="M4" t="s">
        <v>9</v>
      </c>
      <c r="N4">
        <v>19.12</v>
      </c>
      <c r="O4">
        <v>36669.0</v>
      </c>
      <c r="Q4" s="3" t="str">
        <f t="shared" si="1"/>
        <v>125,407.98 </v>
      </c>
      <c r="R4" t="str">
        <f>0.4*1.1*O4</f>
        <v>16134.36</v>
      </c>
      <c r="S4" s="3" t="str">
        <f t="shared" si="2"/>
        <v>141,542.34 </v>
      </c>
      <c r="Z4" s="3"/>
    </row>
    <row r="5">
      <c r="B5" s="1">
        <v>44126.0</v>
      </c>
      <c r="C5" s="1">
        <v>44263.0</v>
      </c>
      <c r="D5" t="s">
        <v>12</v>
      </c>
      <c r="E5" t="s">
        <v>13</v>
      </c>
      <c r="F5" s="4">
        <v>602690.0</v>
      </c>
      <c r="H5" s="2"/>
      <c r="J5">
        <v>981.0</v>
      </c>
      <c r="L5">
        <v>22.0</v>
      </c>
      <c r="M5" t="s">
        <v>9</v>
      </c>
      <c r="N5">
        <v>19.12</v>
      </c>
      <c r="O5">
        <v>6000.0</v>
      </c>
      <c r="Q5" s="3" t="str">
        <f t="shared" si="1"/>
        <v>-17,280.00 </v>
      </c>
      <c r="S5" s="3" t="str">
        <f t="shared" si="2"/>
        <v>-17,280.00 </v>
      </c>
      <c r="Z5" s="3"/>
    </row>
    <row r="6">
      <c r="A6" s="1"/>
      <c r="B6" s="5">
        <v>44287.0</v>
      </c>
      <c r="C6" s="6"/>
      <c r="D6" s="6"/>
      <c r="E6" s="6"/>
      <c r="F6" s="4">
        <v>107320.0</v>
      </c>
      <c r="G6" s="6"/>
      <c r="H6" s="2"/>
      <c r="I6" s="6"/>
      <c r="J6">
        <v>9888.0</v>
      </c>
      <c r="L6">
        <v>190.6</v>
      </c>
      <c r="M6" t="s">
        <v>9</v>
      </c>
      <c r="N6">
        <v>158.4</v>
      </c>
      <c r="O6">
        <v>5750.0</v>
      </c>
      <c r="Q6" s="3" t="str">
        <f t="shared" si="1"/>
        <v>-185,150.00 </v>
      </c>
      <c r="R6" s="6"/>
      <c r="S6" s="3" t="str">
        <f t="shared" si="2"/>
        <v>-185,150.00 </v>
      </c>
      <c r="T6" s="6"/>
      <c r="U6" s="6"/>
      <c r="V6" s="6"/>
      <c r="W6" s="6"/>
      <c r="X6" s="6"/>
      <c r="Y6" s="6"/>
      <c r="Z6" s="6"/>
    </row>
    <row r="7">
      <c r="B7" s="1">
        <v>44319.0</v>
      </c>
      <c r="F7" s="4">
        <v>77460.0</v>
      </c>
      <c r="H7" s="2"/>
      <c r="J7">
        <v>700.0</v>
      </c>
      <c r="L7">
        <v>450.4</v>
      </c>
      <c r="M7" t="s">
        <v>9</v>
      </c>
      <c r="N7">
        <v>419.6</v>
      </c>
      <c r="O7">
        <v>400.0</v>
      </c>
      <c r="Q7" s="3" t="str">
        <f t="shared" si="1"/>
        <v>-12,320.00 </v>
      </c>
      <c r="R7" s="6"/>
      <c r="S7" s="3" t="str">
        <f t="shared" si="2"/>
        <v>-12,320.00 </v>
      </c>
      <c r="Z7" s="3"/>
    </row>
    <row r="8">
      <c r="B8" s="1">
        <v>44377.0</v>
      </c>
      <c r="D8" t="str">
        <f>-99*150</f>
        <v>-14850</v>
      </c>
      <c r="E8" s="7">
        <v>67230.0</v>
      </c>
      <c r="F8" s="4"/>
      <c r="H8" s="2"/>
      <c r="J8">
        <v>189.0</v>
      </c>
      <c r="L8">
        <v>10.68</v>
      </c>
      <c r="M8" t="s">
        <v>9</v>
      </c>
      <c r="N8">
        <v>11.36</v>
      </c>
      <c r="O8">
        <v>18000.0</v>
      </c>
      <c r="Q8" s="3" t="str">
        <f t="shared" si="1"/>
        <v>12,240.00 </v>
      </c>
      <c r="R8" s="6"/>
      <c r="S8" s="3" t="str">
        <f t="shared" si="2"/>
        <v>12,240.00 </v>
      </c>
      <c r="Z8" s="3"/>
    </row>
    <row r="9">
      <c r="B9" s="1">
        <v>44407.0</v>
      </c>
      <c r="D9" t="str">
        <f>-108*150</f>
        <v>-16200</v>
      </c>
      <c r="E9" s="6">
        <v>-26020.0</v>
      </c>
      <c r="F9" s="4">
        <v>36430.0</v>
      </c>
      <c r="H9" s="2"/>
      <c r="P9" s="3"/>
    </row>
    <row r="10">
      <c r="B10" s="1">
        <v>44439.0</v>
      </c>
      <c r="D10" t="str">
        <f>-80*150</f>
        <v>-12000</v>
      </c>
      <c r="E10" s="6">
        <v>27872.5</v>
      </c>
      <c r="F10" s="4">
        <v>156752.5</v>
      </c>
      <c r="H10" s="2"/>
      <c r="J10">
        <v>1211.0</v>
      </c>
      <c r="L10">
        <v>198.65</v>
      </c>
      <c r="M10" s="8">
        <v>44932.0</v>
      </c>
      <c r="O10">
        <v>1000.0</v>
      </c>
      <c r="P10" t="str">
        <f t="shared" ref="P10:P11" si="3">O10*L10</f>
        <v>198650</v>
      </c>
      <c r="U10" s="6"/>
      <c r="V10" s="6"/>
      <c r="W10" s="6"/>
      <c r="X10" s="6"/>
      <c r="Y10" s="6"/>
      <c r="Z10" s="3"/>
    </row>
    <row r="11">
      <c r="B11" s="1">
        <v>44469.0</v>
      </c>
      <c r="D11" t="str">
        <f>-87*150</f>
        <v>-13050</v>
      </c>
      <c r="E11" s="6">
        <v>16925.0</v>
      </c>
      <c r="F11" s="4">
        <v>98935.0</v>
      </c>
      <c r="H11" s="2"/>
      <c r="J11">
        <v>2333.0</v>
      </c>
      <c r="L11">
        <v>9.8865</v>
      </c>
      <c r="M11" s="8">
        <v>44932.0</v>
      </c>
      <c r="O11">
        <v>8000.0</v>
      </c>
      <c r="P11" t="str">
        <f t="shared" si="3"/>
        <v>79092</v>
      </c>
      <c r="U11" s="6"/>
      <c r="V11" s="6"/>
      <c r="W11" s="6"/>
      <c r="X11" s="6"/>
      <c r="Y11" s="6"/>
      <c r="Z11" s="3"/>
    </row>
    <row r="12">
      <c r="B12" s="1">
        <v>44498.0</v>
      </c>
      <c r="D12" t="str">
        <f>-48*150</f>
        <v>-7200</v>
      </c>
      <c r="E12" s="6">
        <v>14747.0</v>
      </c>
      <c r="F12" s="4">
        <v>30424.0</v>
      </c>
      <c r="H12" s="2"/>
      <c r="M12" s="8"/>
      <c r="U12" s="6"/>
      <c r="V12" s="6"/>
      <c r="W12" s="6"/>
      <c r="X12" s="6"/>
      <c r="Y12" s="6"/>
      <c r="Z12" s="3"/>
    </row>
    <row r="13">
      <c r="B13" s="1">
        <v>44530.0</v>
      </c>
      <c r="D13" t="str">
        <f>-66*150</f>
        <v>-9900</v>
      </c>
      <c r="E13" s="6">
        <v>-4725.0</v>
      </c>
      <c r="F13" s="4">
        <v>69490.0</v>
      </c>
      <c r="H13" s="2"/>
      <c r="M13" s="8"/>
      <c r="U13" s="6"/>
      <c r="V13" s="6"/>
      <c r="W13" s="6"/>
      <c r="X13" s="6"/>
      <c r="Y13" s="6"/>
      <c r="Z13" s="3"/>
    </row>
    <row r="14">
      <c r="A14">
        <v>2021.0</v>
      </c>
      <c r="B14" s="1">
        <v>44926.0</v>
      </c>
      <c r="D14" t="str">
        <f>-60*150</f>
        <v>-9000</v>
      </c>
      <c r="E14" s="6">
        <v>6724.0</v>
      </c>
      <c r="F14" s="4">
        <v>70283.0</v>
      </c>
      <c r="H14" s="2"/>
      <c r="Q14" s="3" t="str">
        <f t="shared" ref="Q14:R14" si="4">SUM(Q2:Q8)</f>
        <v>-111,062.20 </v>
      </c>
      <c r="R14" s="3" t="str">
        <f t="shared" si="4"/>
        <v>27,476.22 </v>
      </c>
      <c r="S14" s="3" t="str">
        <f>SUM(Q14:R14)</f>
        <v>-83,585.98 </v>
      </c>
      <c r="U14" s="6"/>
      <c r="V14" s="6"/>
      <c r="W14" s="6"/>
      <c r="X14" s="6"/>
      <c r="Y14" s="6"/>
      <c r="Z14" s="3"/>
    </row>
    <row r="15">
      <c r="A15">
        <v>2022.0</v>
      </c>
      <c r="B15" s="1"/>
      <c r="D15">
        <v>-100800.0</v>
      </c>
      <c r="E15" s="6">
        <v>-20332.96</v>
      </c>
      <c r="F15" s="4">
        <v>640926.0</v>
      </c>
      <c r="H15" s="2"/>
      <c r="U15" s="6"/>
      <c r="V15" s="6"/>
      <c r="W15" s="6"/>
      <c r="X15" s="6"/>
      <c r="Y15" s="6"/>
      <c r="Z15" s="3"/>
    </row>
    <row r="16">
      <c r="A16">
        <v>2023.0</v>
      </c>
      <c r="B16" s="1"/>
      <c r="D16">
        <v>-94500.0</v>
      </c>
      <c r="E16" s="6">
        <v>390042.0</v>
      </c>
      <c r="F16" s="4">
        <v>701988.0</v>
      </c>
      <c r="H16" s="2"/>
      <c r="U16" s="6"/>
      <c r="V16" s="6"/>
      <c r="W16" s="6"/>
      <c r="X16" s="6"/>
      <c r="Y16" s="6"/>
      <c r="Z16" s="3"/>
    </row>
    <row r="17">
      <c r="A17">
        <v>2024.0</v>
      </c>
      <c r="B17" s="1"/>
      <c r="D17" s="6">
        <v>-84750.0</v>
      </c>
      <c r="E17" s="6">
        <v>428099.1</v>
      </c>
      <c r="F17" s="4">
        <v>808468.36</v>
      </c>
      <c r="H17" s="2"/>
      <c r="U17" s="6"/>
      <c r="V17" s="6"/>
      <c r="W17" s="6"/>
      <c r="X17" s="6"/>
      <c r="Y17" s="6"/>
      <c r="Z17" s="3"/>
    </row>
    <row r="18">
      <c r="A18">
        <v>2025.0</v>
      </c>
      <c r="B18" s="1"/>
      <c r="D18" s="6">
        <v>-107100.0</v>
      </c>
      <c r="E18" s="6">
        <v>599670.2</v>
      </c>
      <c r="F18" s="4">
        <v>825204.9</v>
      </c>
      <c r="H18" s="2"/>
      <c r="U18" s="6"/>
      <c r="V18" s="6"/>
      <c r="W18" s="6"/>
      <c r="X18" s="6"/>
      <c r="Y18" s="6"/>
      <c r="Z18" s="3"/>
    </row>
    <row r="19">
      <c r="A19">
        <v>2026.0</v>
      </c>
      <c r="B19" s="1">
        <v>46052.0</v>
      </c>
      <c r="D19" t="str">
        <f>-99*150</f>
        <v>-14850</v>
      </c>
      <c r="E19" s="6">
        <v>124298.0</v>
      </c>
      <c r="F19" s="4">
        <v>105383.0</v>
      </c>
      <c r="H19" s="2"/>
      <c r="M19" s="8"/>
      <c r="U19" s="6"/>
      <c r="V19" s="6"/>
      <c r="W19" s="6"/>
      <c r="X19" s="6"/>
      <c r="Y19" s="6"/>
      <c r="Z19" s="3"/>
    </row>
    <row r="20">
      <c r="B20" s="1">
        <v>46083.0</v>
      </c>
      <c r="D20" t="str">
        <f>-81*150</f>
        <v>-12150</v>
      </c>
      <c r="E20" s="6">
        <v>10806.0</v>
      </c>
      <c r="F20" s="4">
        <v>73805.0</v>
      </c>
      <c r="H20" s="2"/>
      <c r="M20" s="8"/>
      <c r="U20" s="6"/>
      <c r="V20" s="6"/>
      <c r="W20" s="6"/>
      <c r="X20" s="6"/>
      <c r="Y20" s="6"/>
      <c r="Z20" s="3"/>
    </row>
    <row r="21" ht="15.75" customHeight="1">
      <c r="B21" s="1">
        <v>46112.0</v>
      </c>
      <c r="D21" t="str">
        <f>-64*150</f>
        <v>-9600</v>
      </c>
      <c r="E21" s="6">
        <v>-18337.0</v>
      </c>
      <c r="F21" s="4">
        <v>67007.0</v>
      </c>
      <c r="H21" s="2"/>
      <c r="M21" s="8"/>
      <c r="U21" s="6"/>
      <c r="V21" s="6"/>
      <c r="W21" s="6"/>
      <c r="X21" s="6"/>
      <c r="Y21" s="6"/>
      <c r="Z21" s="3"/>
    </row>
    <row r="22" ht="15.75" customHeight="1">
      <c r="B22" s="1">
        <v>46142.0</v>
      </c>
      <c r="D22" s="6" t="str">
        <f>-71*150</f>
        <v>-10650</v>
      </c>
      <c r="E22" s="6">
        <v>34519.88</v>
      </c>
      <c r="F22" s="4">
        <v>50451.88</v>
      </c>
      <c r="H22" s="2"/>
      <c r="Q22" s="3"/>
      <c r="R22" s="3"/>
      <c r="S22" s="3"/>
      <c r="U22" s="6"/>
      <c r="V22" s="6"/>
      <c r="W22" s="6"/>
      <c r="X22" s="6"/>
      <c r="Y22" s="6"/>
      <c r="Z22" s="3"/>
    </row>
    <row r="23" ht="15.75" customHeight="1">
      <c r="B23" s="1">
        <v>46171.0</v>
      </c>
      <c r="D23" s="6" t="str">
        <f>-83*150</f>
        <v>-12450</v>
      </c>
      <c r="E23" s="6">
        <v>39542.04</v>
      </c>
      <c r="F23" s="4">
        <v>59156.84</v>
      </c>
      <c r="H23" s="2"/>
      <c r="Q23" s="3"/>
      <c r="R23" s="3"/>
      <c r="S23" s="3"/>
      <c r="U23" s="6"/>
      <c r="V23" s="6"/>
      <c r="W23" s="6"/>
      <c r="X23" s="6"/>
      <c r="Y23" s="6"/>
      <c r="Z23" s="3"/>
    </row>
    <row r="24" ht="15.75" customHeight="1">
      <c r="B24" s="1">
        <v>46203.0</v>
      </c>
      <c r="D24" s="6" t="str">
        <f>-128*150</f>
        <v>-19200</v>
      </c>
      <c r="E24" s="6">
        <v>-6468.68</v>
      </c>
      <c r="F24" s="4">
        <v>94206.92</v>
      </c>
      <c r="H24" s="2"/>
      <c r="Q24" s="3"/>
      <c r="R24" s="3"/>
      <c r="S24" s="3"/>
      <c r="U24" s="6"/>
      <c r="V24" s="6"/>
      <c r="W24" s="6"/>
      <c r="X24" s="6"/>
      <c r="Y24" s="6"/>
      <c r="Z24" s="3"/>
    </row>
    <row r="25" ht="15.75" customHeight="1">
      <c r="B25" s="1">
        <v>46234.0</v>
      </c>
      <c r="D25" s="6" t="str">
        <f>-93*150</f>
        <v>-13950</v>
      </c>
      <c r="E25" s="6">
        <v>-6982.0</v>
      </c>
      <c r="F25" s="4">
        <v>77434.2</v>
      </c>
      <c r="H25" s="2"/>
      <c r="Q25" s="3"/>
      <c r="R25" s="3"/>
      <c r="S25" s="3"/>
      <c r="U25" s="6"/>
      <c r="V25" s="6"/>
      <c r="W25" s="6"/>
      <c r="X25" s="6"/>
      <c r="Y25" s="6"/>
      <c r="Z25" s="3"/>
    </row>
    <row r="26" ht="15.75" customHeight="1">
      <c r="B26" s="1">
        <v>46265.0</v>
      </c>
      <c r="D26" s="6" t="str">
        <f>-81*150</f>
        <v>-12150</v>
      </c>
      <c r="E26" s="6">
        <v>16406.5</v>
      </c>
      <c r="F26" s="4">
        <v>50493.2</v>
      </c>
      <c r="H26" s="2"/>
      <c r="Q26" s="3"/>
      <c r="R26" s="3"/>
      <c r="S26" s="3"/>
      <c r="U26" s="6"/>
      <c r="V26" s="6"/>
      <c r="W26" s="6"/>
      <c r="X26" s="6"/>
      <c r="Y26" s="6"/>
      <c r="Z26" s="3"/>
    </row>
    <row r="27" ht="15.75" customHeight="1">
      <c r="B27" s="1"/>
      <c r="D27" s="6"/>
      <c r="E27" s="6"/>
      <c r="H27" s="2"/>
      <c r="Q27" s="3"/>
      <c r="R27" s="3"/>
      <c r="S27" s="3"/>
      <c r="U27" s="6"/>
      <c r="V27" s="6"/>
      <c r="W27" s="6"/>
      <c r="X27" s="6"/>
      <c r="Y27" s="6"/>
      <c r="Z27" s="3"/>
    </row>
    <row r="28" ht="15.75" customHeight="1">
      <c r="A28" s="1">
        <v>46266.0</v>
      </c>
      <c r="B28" s="1"/>
      <c r="D28" s="6"/>
      <c r="E28" s="6"/>
      <c r="F28" s="4"/>
      <c r="H28" s="2"/>
      <c r="Q28" s="3"/>
      <c r="R28" s="3"/>
      <c r="S28" s="3"/>
      <c r="U28" s="6"/>
      <c r="V28" s="6"/>
      <c r="W28" s="6"/>
      <c r="X28" s="6"/>
      <c r="Y28" s="6"/>
      <c r="Z28" s="3"/>
    </row>
    <row r="29" ht="15.75" customHeight="1">
      <c r="A29" t="s">
        <v>14</v>
      </c>
      <c r="B29" t="s">
        <v>15</v>
      </c>
      <c r="C29" s="9">
        <v>46265.0</v>
      </c>
    </row>
    <row r="30" ht="15.75" customHeight="1">
      <c r="A30" s="6">
        <v>1211.0</v>
      </c>
      <c r="B30" s="6">
        <v>6680.0</v>
      </c>
      <c r="M30" s="3"/>
    </row>
    <row r="31" ht="15.75" customHeight="1">
      <c r="A31" s="10">
        <v>86.4</v>
      </c>
      <c r="B31" s="11">
        <v>16.92</v>
      </c>
    </row>
    <row r="32" ht="15.75" customHeight="1">
      <c r="A32" s="11">
        <v>90.15</v>
      </c>
      <c r="B32" s="11">
        <v>16.96</v>
      </c>
      <c r="C32" s="12">
        <v>200.0</v>
      </c>
      <c r="D32" t="s">
        <v>0</v>
      </c>
      <c r="V32" s="3"/>
    </row>
    <row r="33" ht="15.75" customHeight="1">
      <c r="A33" s="6" t="str">
        <f>(A32-A31)*C32</f>
        <v>750</v>
      </c>
      <c r="B33" s="11" t="str">
        <f>C33*(B31-B32)</f>
        <v>-$ 32.00 </v>
      </c>
      <c r="C33" s="12">
        <v>800.0</v>
      </c>
      <c r="D33" t="s">
        <v>16</v>
      </c>
      <c r="E33" s="11" t="str">
        <f>A33</f>
        <v> $ 750.00 </v>
      </c>
      <c r="F33" s="11" t="str">
        <f>(B33+A33)</f>
        <v> $ 718.00 </v>
      </c>
      <c r="G33" t="str">
        <f>IF(F33&gt;0, "TRADE","H")</f>
        <v>TRADE</v>
      </c>
      <c r="V33" s="3"/>
    </row>
    <row r="34" ht="15.75" customHeight="1">
      <c r="A34" t="s">
        <v>14</v>
      </c>
      <c r="B34" t="s">
        <v>15</v>
      </c>
      <c r="C34" s="9">
        <v>45908.0</v>
      </c>
      <c r="J34" s="3"/>
    </row>
    <row r="35" ht="15.75" customHeight="1">
      <c r="A35" s="6">
        <v>2382.0</v>
      </c>
      <c r="B35" s="6" t="s">
        <v>17</v>
      </c>
    </row>
    <row r="36" ht="15.75" customHeight="1">
      <c r="A36" s="10">
        <v>80.8</v>
      </c>
      <c r="B36" s="6">
        <v>104.8</v>
      </c>
      <c r="U36" s="3"/>
    </row>
    <row r="37" ht="15.75" customHeight="1">
      <c r="A37" s="11">
        <v>73.2</v>
      </c>
      <c r="B37" s="11">
        <v>94.35</v>
      </c>
      <c r="C37">
        <v>200.0</v>
      </c>
      <c r="H37" s="2"/>
      <c r="Y37" s="3"/>
    </row>
    <row r="38" ht="15.75" customHeight="1">
      <c r="A38" s="6" t="str">
        <f>(A37-A36)*C38</f>
        <v>-1520</v>
      </c>
      <c r="B38" s="6" t="str">
        <f>(B36-B37)*C37</f>
        <v>2090</v>
      </c>
      <c r="C38">
        <v>200.0</v>
      </c>
      <c r="E38" s="11" t="str">
        <f>A38</f>
        <v>-$ 1,520.00 </v>
      </c>
      <c r="F38" s="6" t="str">
        <f>(B38+A38)</f>
        <v>570</v>
      </c>
      <c r="G38" t="str">
        <f>IF(F38&gt;0, "TRADE","H")</f>
        <v>TRADE</v>
      </c>
      <c r="H38" s="2"/>
      <c r="N38" s="3"/>
      <c r="Y38" s="3"/>
    </row>
    <row r="39" ht="15.75" customHeight="1">
      <c r="A39" s="12" t="s">
        <v>18</v>
      </c>
      <c r="B39" s="12" t="s">
        <v>19</v>
      </c>
      <c r="C39" s="9">
        <v>46265.0</v>
      </c>
      <c r="H39" s="6"/>
      <c r="I39" s="6"/>
      <c r="J39" s="6"/>
      <c r="K39" s="6"/>
      <c r="L39" s="3"/>
    </row>
    <row r="40" ht="15.75" customHeight="1">
      <c r="A40" s="6">
        <v>1211.0</v>
      </c>
      <c r="B40" s="6" t="s">
        <v>20</v>
      </c>
      <c r="L40" s="3"/>
      <c r="N40" s="3"/>
    </row>
    <row r="41" ht="15.75" customHeight="1">
      <c r="A41" s="6">
        <v>87.6</v>
      </c>
      <c r="B41" s="6">
        <v>93.65</v>
      </c>
    </row>
    <row r="42" ht="15.75" customHeight="1">
      <c r="A42" s="11">
        <v>89.85</v>
      </c>
      <c r="B42" s="11">
        <v>92.95</v>
      </c>
      <c r="C42">
        <v>300.0</v>
      </c>
      <c r="D42" t="s">
        <v>0</v>
      </c>
      <c r="E42" s="13"/>
      <c r="H42" s="2"/>
      <c r="Z42" s="3"/>
    </row>
    <row r="43" ht="15.75" customHeight="1">
      <c r="A43" s="11" t="str">
        <f>C43*(A42-A41)</f>
        <v> $ 675.00 </v>
      </c>
      <c r="B43" s="11" t="str">
        <f>C42*(B41-B42)</f>
        <v> $ 210.00 </v>
      </c>
      <c r="C43">
        <v>300.0</v>
      </c>
      <c r="D43" t="s">
        <v>16</v>
      </c>
      <c r="E43" s="11" t="str">
        <f>A43</f>
        <v> $ 675.00 </v>
      </c>
      <c r="F43" s="11" t="str">
        <f>(B43+A43)</f>
        <v> $ 885.00 </v>
      </c>
      <c r="G43" t="str">
        <f>IF(F43&gt;0, "TRADE","H")</f>
        <v>TRADE</v>
      </c>
      <c r="H43" s="2"/>
      <c r="Z43" s="3"/>
    </row>
    <row r="44" ht="15.75" customHeight="1">
      <c r="A44" t="s">
        <v>14</v>
      </c>
      <c r="B44" t="s">
        <v>15</v>
      </c>
      <c r="C44" s="9">
        <v>46198.0</v>
      </c>
    </row>
    <row r="45" ht="15.75" customHeight="1">
      <c r="A45" s="6">
        <v>2382.0</v>
      </c>
      <c r="B45" s="6">
        <v>763.0</v>
      </c>
      <c r="M45" s="3"/>
    </row>
    <row r="46" ht="15.75" customHeight="1">
      <c r="A46" s="10">
        <v>73.6</v>
      </c>
      <c r="B46" s="11">
        <v>24.34</v>
      </c>
    </row>
    <row r="47" ht="15.75" customHeight="1">
      <c r="A47" s="11">
        <v>74.05</v>
      </c>
      <c r="B47" s="11">
        <v>24.0</v>
      </c>
      <c r="C47">
        <v>200.0</v>
      </c>
      <c r="D47" t="s">
        <v>0</v>
      </c>
      <c r="V47" s="3"/>
    </row>
    <row r="48" ht="15.75" customHeight="1">
      <c r="A48" s="6" t="str">
        <f>(A47-A46)*C47</f>
        <v>90</v>
      </c>
      <c r="B48" s="11" t="str">
        <f>C48*(B46-B47)</f>
        <v> $ 204.00 </v>
      </c>
      <c r="C48">
        <v>600.0</v>
      </c>
      <c r="D48" t="s">
        <v>16</v>
      </c>
      <c r="E48" s="11" t="str">
        <f>A48</f>
        <v> $ 90.00 </v>
      </c>
      <c r="F48" s="11" t="str">
        <f>(B48+A48)</f>
        <v> $ 294.00 </v>
      </c>
      <c r="G48" t="str">
        <f>IF(F48&gt;0, "TRADE","H")</f>
        <v>TRADE</v>
      </c>
      <c r="V48" s="3"/>
    </row>
    <row r="49" ht="15.75" customHeight="1">
      <c r="A49" t="s">
        <v>14</v>
      </c>
      <c r="B49" t="s">
        <v>15</v>
      </c>
      <c r="C49" s="9">
        <v>46265.0</v>
      </c>
      <c r="H49" s="2"/>
      <c r="Z49" s="3"/>
    </row>
    <row r="50" ht="15.75" customHeight="1">
      <c r="A50" s="6" t="s">
        <v>17</v>
      </c>
      <c r="B50" s="6">
        <v>9880.0</v>
      </c>
      <c r="H50" s="2"/>
      <c r="Z50" s="3"/>
    </row>
    <row r="51" ht="15.75" customHeight="1">
      <c r="A51" s="10">
        <v>93.2</v>
      </c>
      <c r="B51" s="6">
        <v>84.7</v>
      </c>
      <c r="H51" s="2"/>
      <c r="Z51" s="3"/>
    </row>
    <row r="52" ht="15.75" customHeight="1">
      <c r="A52" s="11">
        <v>93.75</v>
      </c>
      <c r="B52" s="11">
        <v>82.0</v>
      </c>
      <c r="C52">
        <v>200.0</v>
      </c>
      <c r="D52" t="s">
        <v>0</v>
      </c>
      <c r="H52" s="2"/>
      <c r="Z52" s="3"/>
    </row>
    <row r="53" ht="15.75" customHeight="1">
      <c r="A53" s="6" t="str">
        <f>(A52-A51)*C53</f>
        <v>110</v>
      </c>
      <c r="B53" s="6" t="str">
        <f>(B51-B52)*C52</f>
        <v>540</v>
      </c>
      <c r="C53">
        <v>200.0</v>
      </c>
      <c r="D53" t="s">
        <v>16</v>
      </c>
      <c r="E53" s="11" t="str">
        <f>A53</f>
        <v> $ 110.00 </v>
      </c>
      <c r="F53" s="6" t="str">
        <f>(B53+A53)</f>
        <v>650</v>
      </c>
      <c r="G53" t="str">
        <f>IF(F53&gt;0, "TRADE","H")</f>
        <v>TRADE</v>
      </c>
      <c r="H53" s="2"/>
      <c r="Z53" s="3"/>
    </row>
    <row r="54" ht="15.75" customHeight="1">
      <c r="A54" t="s">
        <v>14</v>
      </c>
      <c r="B54" t="s">
        <v>15</v>
      </c>
      <c r="C54" s="9">
        <v>46265.0</v>
      </c>
      <c r="H54" s="2"/>
      <c r="Z54" s="3"/>
    </row>
    <row r="55" ht="15.75" customHeight="1">
      <c r="A55" s="6" t="s">
        <v>17</v>
      </c>
      <c r="B55" s="6">
        <v>9880.0</v>
      </c>
      <c r="H55" s="2"/>
      <c r="Z55" s="3"/>
    </row>
    <row r="56" ht="15.75" customHeight="1">
      <c r="A56" s="10">
        <v>93.6</v>
      </c>
      <c r="B56" s="6">
        <v>84.15</v>
      </c>
      <c r="H56" s="2"/>
      <c r="Z56" s="3"/>
    </row>
    <row r="57" ht="15.75" customHeight="1">
      <c r="A57" s="11">
        <v>94.15</v>
      </c>
      <c r="B57" s="11">
        <v>81.7</v>
      </c>
      <c r="C57">
        <v>200.0</v>
      </c>
      <c r="D57" t="s">
        <v>0</v>
      </c>
      <c r="H57" s="2"/>
      <c r="Z57" s="3"/>
    </row>
    <row r="58" ht="15.75" customHeight="1">
      <c r="A58" s="6" t="str">
        <f>(A57-A56)*C58</f>
        <v>110</v>
      </c>
      <c r="B58" s="6" t="str">
        <f>(B56-B57)*C57</f>
        <v>490</v>
      </c>
      <c r="C58">
        <v>200.0</v>
      </c>
      <c r="D58" t="s">
        <v>16</v>
      </c>
      <c r="E58" s="11" t="str">
        <f>A58</f>
        <v> $ 110.00 </v>
      </c>
      <c r="F58" s="6" t="str">
        <f>(B58+A58)</f>
        <v>600</v>
      </c>
      <c r="G58" t="str">
        <f>IF(F58&gt;0, "TRADE","H")</f>
        <v>TRADE</v>
      </c>
      <c r="H58" s="2"/>
      <c r="Z58" s="3"/>
    </row>
    <row r="59" ht="15.75" customHeight="1">
      <c r="A59" t="s">
        <v>14</v>
      </c>
      <c r="B59" t="s">
        <v>15</v>
      </c>
      <c r="C59" s="9">
        <v>46266.0</v>
      </c>
    </row>
    <row r="60" ht="15.75" customHeight="1">
      <c r="A60" s="6">
        <v>763.0</v>
      </c>
      <c r="B60" s="6">
        <v>2382.0</v>
      </c>
      <c r="M60" s="3"/>
    </row>
    <row r="61" ht="15.75" customHeight="1">
      <c r="A61" s="10">
        <v>24.0</v>
      </c>
      <c r="B61" s="11">
        <v>74.05</v>
      </c>
    </row>
    <row r="62" ht="15.75" customHeight="1">
      <c r="A62" s="11">
        <v>23.98</v>
      </c>
      <c r="B62" s="11">
        <v>71.85</v>
      </c>
      <c r="C62">
        <v>600.0</v>
      </c>
      <c r="D62" t="s">
        <v>0</v>
      </c>
      <c r="V62" s="3"/>
    </row>
    <row r="63" ht="15.75" customHeight="1">
      <c r="A63" s="6" t="str">
        <f>(A62-A61)*C62</f>
        <v>-12</v>
      </c>
      <c r="B63" s="11" t="str">
        <f>C63*(B61-B62)</f>
        <v> $ 440.00 </v>
      </c>
      <c r="C63">
        <v>200.0</v>
      </c>
      <c r="D63" t="s">
        <v>16</v>
      </c>
      <c r="E63" s="11" t="str">
        <f>A63</f>
        <v>-$ 12.00 </v>
      </c>
      <c r="F63" s="11" t="str">
        <f>(B63+A63)</f>
        <v> $ 428.00 </v>
      </c>
      <c r="G63" t="str">
        <f>IF(F63&gt;0, "TRADE","H")</f>
        <v>TRADE</v>
      </c>
      <c r="V63" s="3"/>
    </row>
    <row r="64" ht="15.75" customHeight="1">
      <c r="A64" s="1">
        <v>46267.0</v>
      </c>
      <c r="B64" s="1"/>
      <c r="D64" s="6"/>
      <c r="E64" s="6"/>
      <c r="F64" s="4"/>
      <c r="H64" s="2"/>
      <c r="Q64" s="3"/>
      <c r="R64" s="3"/>
      <c r="S64" s="3"/>
      <c r="U64" s="6"/>
      <c r="V64" s="6"/>
      <c r="W64" s="6"/>
      <c r="X64" s="6"/>
      <c r="Y64" s="6"/>
      <c r="Z64" s="3"/>
    </row>
    <row r="65" ht="15.75" customHeight="1">
      <c r="A65" t="s">
        <v>14</v>
      </c>
      <c r="B65" t="s">
        <v>15</v>
      </c>
      <c r="C65" s="9">
        <v>46266.0</v>
      </c>
    </row>
    <row r="66" ht="15.75" customHeight="1">
      <c r="A66" s="6">
        <v>2382.0</v>
      </c>
      <c r="B66" s="6">
        <v>763.0</v>
      </c>
      <c r="I66" s="12"/>
      <c r="M66" s="3"/>
    </row>
    <row r="67" ht="15.75" customHeight="1">
      <c r="A67" s="10">
        <v>71.85</v>
      </c>
      <c r="B67" s="11">
        <v>23.98</v>
      </c>
    </row>
    <row r="68" ht="15.75" customHeight="1">
      <c r="A68" s="11">
        <v>71.95</v>
      </c>
      <c r="B68" s="11">
        <v>23.42</v>
      </c>
      <c r="C68">
        <v>200.0</v>
      </c>
      <c r="D68" t="s">
        <v>0</v>
      </c>
      <c r="V68" s="3"/>
    </row>
    <row r="69" ht="15.75" customHeight="1">
      <c r="A69" s="6" t="str">
        <f>(A68-A67)*C68</f>
        <v>20</v>
      </c>
      <c r="B69" s="11" t="str">
        <f>C69*(B67-B68)</f>
        <v> $ 336.00 </v>
      </c>
      <c r="C69">
        <v>600.0</v>
      </c>
      <c r="D69" t="s">
        <v>16</v>
      </c>
      <c r="E69" s="11" t="str">
        <f>A69</f>
        <v> $ 20.00 </v>
      </c>
      <c r="F69" s="11" t="str">
        <f>(B69+A69)</f>
        <v> $ 356.00 </v>
      </c>
      <c r="G69" t="str">
        <f>IF(F69&gt;0, "TRADE","H")</f>
        <v>TRADE</v>
      </c>
      <c r="V69" s="3"/>
    </row>
    <row r="70" ht="15.75" customHeight="1">
      <c r="A70" s="12" t="s">
        <v>21</v>
      </c>
      <c r="B70" s="12" t="s">
        <v>22</v>
      </c>
      <c r="C70" s="9">
        <v>46266.0</v>
      </c>
      <c r="H70" s="6"/>
      <c r="I70" s="6"/>
      <c r="J70" s="6"/>
      <c r="K70" s="6"/>
      <c r="L70" s="3"/>
    </row>
    <row r="71" ht="15.75" customHeight="1">
      <c r="A71" s="6" t="s">
        <v>20</v>
      </c>
      <c r="B71" s="6">
        <v>1211.0</v>
      </c>
      <c r="L71" s="3"/>
      <c r="N71" s="3"/>
    </row>
    <row r="72" ht="15.75" customHeight="1">
      <c r="A72" s="6">
        <v>92.95</v>
      </c>
      <c r="B72" s="6">
        <v>89.85</v>
      </c>
    </row>
    <row r="73" ht="15.75" customHeight="1">
      <c r="A73" s="11">
        <v>91.35</v>
      </c>
      <c r="B73" s="11">
        <v>85.55</v>
      </c>
      <c r="C73">
        <v>300.0</v>
      </c>
      <c r="D73" t="s">
        <v>0</v>
      </c>
      <c r="E73" s="13"/>
      <c r="H73" s="2"/>
      <c r="Z73" s="3"/>
    </row>
    <row r="74" ht="15.75" customHeight="1">
      <c r="A74" s="11" t="str">
        <f>C74*(A73-A72)</f>
        <v>-$ 480.00 </v>
      </c>
      <c r="B74" s="11" t="str">
        <f>C73*(B72-B73)</f>
        <v> $ 1,290.00 </v>
      </c>
      <c r="C74">
        <v>300.0</v>
      </c>
      <c r="D74" t="s">
        <v>16</v>
      </c>
      <c r="E74" s="11" t="str">
        <f>A74</f>
        <v>-$ 480.00 </v>
      </c>
      <c r="F74" s="11" t="str">
        <f>(B74+A74)</f>
        <v> $ 810.00 </v>
      </c>
      <c r="G74" t="str">
        <f>IF(F74&gt;0, "TRADE","H")</f>
        <v>TRADE</v>
      </c>
      <c r="H74" s="2"/>
      <c r="Z74" s="3"/>
    </row>
    <row r="75" ht="15.75" customHeight="1">
      <c r="A75" t="s">
        <v>14</v>
      </c>
      <c r="B75" t="s">
        <v>15</v>
      </c>
      <c r="C75" s="9">
        <v>46266.0</v>
      </c>
    </row>
    <row r="76" ht="15.75" customHeight="1">
      <c r="A76" s="6">
        <v>6680.0</v>
      </c>
      <c r="B76" s="6">
        <v>1211.0</v>
      </c>
      <c r="M76" s="3"/>
    </row>
    <row r="77" ht="15.75" customHeight="1">
      <c r="A77" s="10">
        <v>16.96</v>
      </c>
      <c r="B77" s="11">
        <v>90.15</v>
      </c>
    </row>
    <row r="78" ht="15.75" customHeight="1">
      <c r="A78" s="11">
        <v>16.25</v>
      </c>
      <c r="B78" s="11">
        <v>84.75</v>
      </c>
      <c r="C78" s="12">
        <v>800.0</v>
      </c>
      <c r="D78" t="s">
        <v>0</v>
      </c>
      <c r="V78" s="3"/>
    </row>
    <row r="79" ht="15.75" customHeight="1">
      <c r="A79" s="6" t="str">
        <f>(A78-A77)*C78</f>
        <v>-568</v>
      </c>
      <c r="B79" s="11" t="str">
        <f>C79*(B77-B78)</f>
        <v> $ 1,080.00 </v>
      </c>
      <c r="C79" s="12">
        <v>200.0</v>
      </c>
      <c r="D79" t="s">
        <v>16</v>
      </c>
      <c r="E79" s="11" t="str">
        <f>A79</f>
        <v>-$ 568.00 </v>
      </c>
      <c r="F79" s="11" t="str">
        <f>(B79+A79)</f>
        <v> $ 512.00 </v>
      </c>
      <c r="G79" t="str">
        <f>IF(F79&gt;0, "TRADE","H")</f>
        <v>TRADE</v>
      </c>
      <c r="V79" s="3"/>
    </row>
    <row r="80" ht="15.75" customHeight="1">
      <c r="A80" s="1">
        <v>46268.0</v>
      </c>
      <c r="B80" s="1"/>
      <c r="D80" s="6"/>
      <c r="E80" s="6"/>
      <c r="F80" s="4"/>
      <c r="H80" s="2"/>
      <c r="Q80" s="3"/>
      <c r="R80" s="3"/>
      <c r="S80" s="3"/>
      <c r="U80" s="6"/>
      <c r="V80" s="6"/>
      <c r="W80" s="6"/>
      <c r="X80" s="6"/>
      <c r="Y80" s="6"/>
      <c r="Z80" s="3"/>
    </row>
    <row r="81" ht="15.75" customHeight="1">
      <c r="A81" t="s">
        <v>14</v>
      </c>
      <c r="B81" t="s">
        <v>15</v>
      </c>
      <c r="C81" s="9">
        <v>46267.0</v>
      </c>
    </row>
    <row r="82" ht="15.75" customHeight="1">
      <c r="A82" s="6">
        <v>763.0</v>
      </c>
      <c r="B82" s="6">
        <v>2382.0</v>
      </c>
      <c r="M82" s="3"/>
    </row>
    <row r="83" ht="15.75" customHeight="1">
      <c r="A83" s="10">
        <v>23.42</v>
      </c>
      <c r="B83" s="11">
        <v>71.95</v>
      </c>
    </row>
    <row r="84" ht="15.75" customHeight="1">
      <c r="A84" s="11">
        <v>23.66</v>
      </c>
      <c r="B84" s="11">
        <v>70.65</v>
      </c>
      <c r="C84">
        <v>600.0</v>
      </c>
      <c r="D84" t="s">
        <v>0</v>
      </c>
      <c r="V84" s="3"/>
    </row>
    <row r="85" ht="15.75" customHeight="1">
      <c r="A85" s="6" t="str">
        <f>(A84-A83)*C84</f>
        <v>144</v>
      </c>
      <c r="B85" s="11" t="str">
        <f>C85*(B83-B84)</f>
        <v> $ 260.00 </v>
      </c>
      <c r="C85">
        <v>200.0</v>
      </c>
      <c r="D85" t="s">
        <v>16</v>
      </c>
      <c r="E85" s="11" t="str">
        <f>A85</f>
        <v> $ 144.00 </v>
      </c>
      <c r="F85" s="11" t="str">
        <f>(B85+A85)</f>
        <v> $ 404.00 </v>
      </c>
      <c r="G85" t="str">
        <f>IF(F85&gt;0, "TRADE","H")</f>
        <v>TRADE</v>
      </c>
      <c r="V85" s="3"/>
    </row>
    <row r="86" ht="15.75" customHeight="1">
      <c r="A86" t="s">
        <v>14</v>
      </c>
      <c r="B86" t="s">
        <v>15</v>
      </c>
      <c r="C86" s="9">
        <v>46266.0</v>
      </c>
      <c r="H86" s="2"/>
      <c r="Z86" s="3"/>
    </row>
    <row r="87" ht="15.75" customHeight="1">
      <c r="A87" s="6">
        <v>9880.0</v>
      </c>
      <c r="B87" s="6" t="s">
        <v>17</v>
      </c>
      <c r="H87" s="2"/>
      <c r="Z87" s="3"/>
    </row>
    <row r="88" ht="15.75" customHeight="1">
      <c r="A88" s="10">
        <v>81.7</v>
      </c>
      <c r="B88" s="6">
        <v>94.15</v>
      </c>
      <c r="H88" s="2"/>
      <c r="Z88" s="3"/>
    </row>
    <row r="89" ht="15.75" customHeight="1">
      <c r="A89" s="11">
        <v>81.7</v>
      </c>
      <c r="B89" s="11">
        <v>92.55</v>
      </c>
      <c r="C89">
        <v>200.0</v>
      </c>
      <c r="D89" t="s">
        <v>0</v>
      </c>
      <c r="H89" s="2"/>
      <c r="Z89" s="3"/>
    </row>
    <row r="90" ht="15.75" customHeight="1">
      <c r="A90" s="6" t="str">
        <f>(A89-A88)*C90</f>
        <v>0</v>
      </c>
      <c r="B90" s="6" t="str">
        <f>(B88-B89)*C89</f>
        <v>320</v>
      </c>
      <c r="C90">
        <v>200.0</v>
      </c>
      <c r="D90" t="s">
        <v>16</v>
      </c>
      <c r="E90" s="11" t="str">
        <f>A90</f>
        <v> $ -   </v>
      </c>
      <c r="F90" s="6" t="str">
        <f>(B90+A90)</f>
        <v>320</v>
      </c>
      <c r="G90" t="str">
        <f>IF(F90&gt;0, "TRADE","H")</f>
        <v>TRADE</v>
      </c>
      <c r="H90" s="2"/>
      <c r="Z90" s="3"/>
    </row>
    <row r="91" ht="15.75" customHeight="1">
      <c r="A91" t="s">
        <v>14</v>
      </c>
      <c r="B91" t="s">
        <v>15</v>
      </c>
      <c r="C91" s="9">
        <v>46261.0</v>
      </c>
      <c r="K91" s="3"/>
    </row>
    <row r="92" ht="15.75" customHeight="1">
      <c r="A92" s="6">
        <v>2587.0</v>
      </c>
      <c r="B92" s="6">
        <v>2522.0</v>
      </c>
      <c r="I92" s="3"/>
    </row>
    <row r="93" ht="15.75" customHeight="1">
      <c r="A93" s="10">
        <v>1.635</v>
      </c>
      <c r="B93" s="6">
        <v>5.66</v>
      </c>
      <c r="M93" s="3"/>
    </row>
    <row r="94" ht="15.75" customHeight="1">
      <c r="A94" s="11">
        <v>1.62</v>
      </c>
      <c r="B94" s="11">
        <v>5.16</v>
      </c>
      <c r="C94" s="12">
        <v>500.0</v>
      </c>
      <c r="H94" s="2"/>
      <c r="Y94" s="3"/>
    </row>
    <row r="95" ht="15.75" customHeight="1">
      <c r="A95" s="6" t="str">
        <f>(A94-A93)*C95</f>
        <v>-7.5</v>
      </c>
      <c r="B95" s="11" t="str">
        <f>C94*(B93-B94)</f>
        <v> $ 250.00 </v>
      </c>
      <c r="C95" s="12">
        <v>500.0</v>
      </c>
      <c r="E95" s="11" t="str">
        <f>A95</f>
        <v>-$ 7.50 </v>
      </c>
      <c r="F95" s="11" t="str">
        <f>(B95+A95)</f>
        <v> $ 242.50 </v>
      </c>
      <c r="G95" t="str">
        <f>IF(F95&gt;0, "TRADE","H")</f>
        <v>TRADE</v>
      </c>
      <c r="H95" s="2"/>
      <c r="Y95" s="3"/>
    </row>
    <row r="96" ht="15.75" customHeight="1">
      <c r="A96" t="s">
        <v>14</v>
      </c>
      <c r="B96" t="s">
        <v>15</v>
      </c>
      <c r="C96" s="9">
        <v>46268.0</v>
      </c>
      <c r="H96" s="2"/>
      <c r="Z96" s="3"/>
    </row>
    <row r="97" ht="15.75" customHeight="1">
      <c r="A97" s="6" t="s">
        <v>17</v>
      </c>
      <c r="B97" s="6">
        <v>9880.0</v>
      </c>
      <c r="H97" s="2"/>
      <c r="Z97" s="3"/>
    </row>
    <row r="98" ht="15.75" customHeight="1">
      <c r="A98" s="10">
        <v>92.55</v>
      </c>
      <c r="B98" s="6">
        <v>81.7</v>
      </c>
      <c r="H98" s="2"/>
      <c r="Z98" s="3"/>
    </row>
    <row r="99" ht="15.75" customHeight="1">
      <c r="A99" s="11">
        <v>91.7</v>
      </c>
      <c r="B99" s="11">
        <v>78.5</v>
      </c>
      <c r="C99">
        <v>200.0</v>
      </c>
      <c r="D99" t="s">
        <v>0</v>
      </c>
      <c r="H99" s="2"/>
      <c r="Z99" s="3"/>
    </row>
    <row r="100" ht="15.75" customHeight="1">
      <c r="A100" s="6" t="str">
        <f>(A99-A98)*C100</f>
        <v>-170</v>
      </c>
      <c r="B100" s="6" t="str">
        <f>(B98-B99)*C99</f>
        <v>640</v>
      </c>
      <c r="C100">
        <v>200.0</v>
      </c>
      <c r="D100" t="s">
        <v>16</v>
      </c>
      <c r="E100" s="11" t="str">
        <f>A100</f>
        <v>-$ 170.00 </v>
      </c>
      <c r="F100" s="6" t="str">
        <f>(B100+A100)</f>
        <v>470</v>
      </c>
      <c r="G100" t="str">
        <f>IF(F100&gt;0, "TRADE","H")</f>
        <v>TRADE</v>
      </c>
      <c r="H100" s="2"/>
      <c r="Z100" s="3"/>
    </row>
    <row r="101" ht="15.75" customHeight="1">
      <c r="A101" s="1">
        <v>46269.0</v>
      </c>
      <c r="B101" s="1"/>
      <c r="D101" s="6"/>
      <c r="E101" s="6"/>
      <c r="F101" s="4"/>
      <c r="H101" s="2"/>
      <c r="Q101" s="3"/>
      <c r="R101" s="3"/>
      <c r="S101" s="3"/>
      <c r="U101" s="6"/>
      <c r="V101" s="6"/>
      <c r="W101" s="6"/>
      <c r="X101" s="6"/>
      <c r="Y101" s="6"/>
      <c r="Z101" s="3"/>
    </row>
    <row r="102" ht="15.75" customHeight="1">
      <c r="A102" t="s">
        <v>14</v>
      </c>
      <c r="B102" t="s">
        <v>15</v>
      </c>
      <c r="C102" s="9">
        <v>46266.0</v>
      </c>
      <c r="J102" s="3"/>
    </row>
    <row r="103" ht="15.75" customHeight="1">
      <c r="A103" s="6" t="s">
        <v>17</v>
      </c>
      <c r="B103" s="6">
        <v>2382.0</v>
      </c>
    </row>
    <row r="104" ht="15.75" customHeight="1">
      <c r="A104" s="10">
        <v>94.35</v>
      </c>
      <c r="B104" s="6">
        <v>73.2</v>
      </c>
      <c r="U104" s="3"/>
    </row>
    <row r="105" ht="15.75" customHeight="1">
      <c r="A105" s="11">
        <v>95.15</v>
      </c>
      <c r="B105" s="11">
        <v>71.1</v>
      </c>
      <c r="C105">
        <v>200.0</v>
      </c>
      <c r="H105" s="2"/>
      <c r="Y105" s="3"/>
    </row>
    <row r="106" ht="15.75" customHeight="1">
      <c r="A106" s="6" t="str">
        <f>(A105-A104)*C106</f>
        <v>160</v>
      </c>
      <c r="B106" s="6" t="str">
        <f>(B104-B105)*C105</f>
        <v>420</v>
      </c>
      <c r="C106">
        <v>200.0</v>
      </c>
      <c r="E106" s="11" t="str">
        <f>A106</f>
        <v> $ 160.00 </v>
      </c>
      <c r="F106" s="6" t="str">
        <f>(B106+A106)</f>
        <v>580</v>
      </c>
      <c r="G106" t="str">
        <f>IF(F106&gt;0, "TRADE","H")</f>
        <v>TRADE</v>
      </c>
      <c r="H106" s="2"/>
      <c r="N106" s="3"/>
      <c r="Y106" s="3"/>
    </row>
    <row r="107" ht="15.75" customHeight="1">
      <c r="A107" t="s">
        <v>14</v>
      </c>
      <c r="B107" t="s">
        <v>15</v>
      </c>
      <c r="C107" s="9">
        <v>46268.0</v>
      </c>
      <c r="H107" s="2"/>
      <c r="Z107" s="3"/>
    </row>
    <row r="108" ht="15.75" customHeight="1">
      <c r="A108" s="6">
        <v>9880.0</v>
      </c>
      <c r="B108" s="6" t="s">
        <v>17</v>
      </c>
      <c r="H108" s="2"/>
      <c r="Z108" s="3"/>
    </row>
    <row r="109" ht="15.75" customHeight="1">
      <c r="A109" s="10">
        <v>78.5</v>
      </c>
      <c r="B109" s="6">
        <v>91.7</v>
      </c>
      <c r="H109" s="2"/>
      <c r="Z109" s="3"/>
    </row>
    <row r="110" ht="15.75" customHeight="1">
      <c r="A110" s="11">
        <v>83.6</v>
      </c>
      <c r="B110" s="11">
        <v>95.1</v>
      </c>
      <c r="C110">
        <v>200.0</v>
      </c>
      <c r="D110" t="s">
        <v>0</v>
      </c>
      <c r="H110" s="2"/>
      <c r="Z110" s="3"/>
    </row>
    <row r="111" ht="15.75" customHeight="1">
      <c r="A111" s="6" t="str">
        <f>(A110-A109)*C111</f>
        <v>1020</v>
      </c>
      <c r="B111" s="6" t="str">
        <f>(B109-B110)*C110</f>
        <v>-680</v>
      </c>
      <c r="C111">
        <v>200.0</v>
      </c>
      <c r="D111" t="s">
        <v>16</v>
      </c>
      <c r="E111" s="11" t="str">
        <f>A111</f>
        <v> $ 1,020.00 </v>
      </c>
      <c r="F111" s="6" t="str">
        <f>(B111+A111)</f>
        <v>340</v>
      </c>
      <c r="G111" t="str">
        <f>IF(F111&gt;0, "TRADE","H")</f>
        <v>TRADE</v>
      </c>
      <c r="H111" s="2"/>
      <c r="Z111" s="3"/>
    </row>
    <row r="112" ht="15.75" customHeight="1">
      <c r="A112" t="s">
        <v>14</v>
      </c>
      <c r="B112" t="s">
        <v>15</v>
      </c>
      <c r="C112" s="9">
        <v>46269.0</v>
      </c>
      <c r="H112" s="2"/>
      <c r="Z112" s="3"/>
    </row>
    <row r="113" ht="15.75" customHeight="1">
      <c r="A113" s="6" t="s">
        <v>17</v>
      </c>
      <c r="B113" s="6">
        <v>9880.0</v>
      </c>
      <c r="H113" s="2"/>
      <c r="Z113" s="3"/>
    </row>
    <row r="114" ht="15.75" customHeight="1">
      <c r="A114" s="10">
        <v>95.1</v>
      </c>
      <c r="B114" s="6">
        <v>83.6</v>
      </c>
      <c r="H114" s="2"/>
      <c r="Z114" s="3"/>
    </row>
    <row r="115" ht="15.75" customHeight="1">
      <c r="A115" s="11">
        <v>96.1</v>
      </c>
      <c r="B115" s="11">
        <v>82.8</v>
      </c>
      <c r="C115">
        <v>200.0</v>
      </c>
      <c r="D115" t="s">
        <v>0</v>
      </c>
      <c r="H115" s="2"/>
      <c r="Z115" s="3"/>
    </row>
    <row r="116" ht="15.75" customHeight="1">
      <c r="A116" s="6" t="str">
        <f>(A115-A114)*C116</f>
        <v>200</v>
      </c>
      <c r="B116" s="6" t="str">
        <f>(B114-B115)*C115</f>
        <v>160</v>
      </c>
      <c r="C116">
        <v>200.0</v>
      </c>
      <c r="D116" t="s">
        <v>16</v>
      </c>
      <c r="E116" s="11" t="str">
        <f>A116</f>
        <v> $ 200.00 </v>
      </c>
      <c r="F116" s="6" t="str">
        <f>(B116+A116)</f>
        <v>360</v>
      </c>
      <c r="G116" t="str">
        <f>IF(F116&gt;0, "TRADE","H")</f>
        <v>TRADE</v>
      </c>
      <c r="H116" s="2"/>
      <c r="Z116" s="3"/>
    </row>
    <row r="117" ht="15.75" customHeight="1">
      <c r="A117" s="1">
        <v>46272.0</v>
      </c>
      <c r="B117" s="1"/>
      <c r="D117" s="6"/>
      <c r="E117" s="6"/>
      <c r="F117" s="4"/>
      <c r="H117" s="2"/>
      <c r="Q117" s="3"/>
      <c r="R117" s="3"/>
      <c r="S117" s="3"/>
      <c r="U117" s="6"/>
      <c r="V117" s="6"/>
      <c r="W117" s="6"/>
      <c r="X117" s="6"/>
      <c r="Y117" s="6"/>
      <c r="Z117" s="3"/>
    </row>
    <row r="118" ht="15.75" customHeight="1">
      <c r="A118" t="s">
        <v>14</v>
      </c>
      <c r="B118" t="s">
        <v>15</v>
      </c>
      <c r="C118" s="9">
        <v>46269.0</v>
      </c>
      <c r="H118" s="2"/>
      <c r="Z118" s="3"/>
    </row>
    <row r="119" ht="15.75" customHeight="1">
      <c r="A119" s="6">
        <v>9880.0</v>
      </c>
      <c r="B119" s="6" t="s">
        <v>17</v>
      </c>
      <c r="H119" s="2"/>
      <c r="Z119" s="3"/>
    </row>
    <row r="120" ht="15.75" customHeight="1">
      <c r="A120" s="10">
        <v>82.8</v>
      </c>
      <c r="B120" s="6">
        <v>96.1</v>
      </c>
      <c r="H120" s="2"/>
      <c r="Z120" s="3"/>
    </row>
    <row r="121" ht="15.75" customHeight="1">
      <c r="A121" s="11">
        <v>84.4</v>
      </c>
      <c r="B121" s="11">
        <v>93.85</v>
      </c>
      <c r="C121">
        <v>200.0</v>
      </c>
      <c r="D121" t="s">
        <v>0</v>
      </c>
      <c r="H121" s="2"/>
      <c r="Z121" s="3"/>
    </row>
    <row r="122" ht="15.75" customHeight="1">
      <c r="A122" s="6" t="str">
        <f>(A121-A120)*C122</f>
        <v>320</v>
      </c>
      <c r="B122" s="6" t="str">
        <f>(B120-B121)*C121</f>
        <v>450</v>
      </c>
      <c r="C122">
        <v>200.0</v>
      </c>
      <c r="D122" t="s">
        <v>16</v>
      </c>
      <c r="E122" s="11" t="str">
        <f>A122</f>
        <v> $ 320.00 </v>
      </c>
      <c r="F122" s="6" t="str">
        <f>(B122+A122)</f>
        <v>770</v>
      </c>
      <c r="G122" t="str">
        <f>IF(F122&gt;0, "TRADE","H")</f>
        <v>TRADE</v>
      </c>
      <c r="H122" s="2"/>
      <c r="Z122" s="3"/>
    </row>
    <row r="123" ht="15.75" customHeight="1">
      <c r="A123" t="s">
        <v>14</v>
      </c>
      <c r="B123" t="s">
        <v>15</v>
      </c>
      <c r="C123" s="9">
        <v>46266.0</v>
      </c>
      <c r="H123" s="2"/>
      <c r="Z123" s="3"/>
    </row>
    <row r="124" ht="15.75" customHeight="1">
      <c r="A124" s="6">
        <v>9880.0</v>
      </c>
      <c r="B124" s="6" t="s">
        <v>17</v>
      </c>
      <c r="H124" s="2"/>
      <c r="Z124" s="3"/>
    </row>
    <row r="125" ht="15.75" customHeight="1">
      <c r="A125" s="10">
        <v>82.0</v>
      </c>
      <c r="B125" s="6">
        <v>93.75</v>
      </c>
      <c r="H125" s="2"/>
      <c r="Z125" s="3"/>
    </row>
    <row r="126" ht="15.75" customHeight="1">
      <c r="A126" s="11">
        <v>84.05</v>
      </c>
      <c r="B126" s="11">
        <v>92.25</v>
      </c>
      <c r="C126">
        <v>200.0</v>
      </c>
      <c r="D126" t="s">
        <v>0</v>
      </c>
      <c r="H126" s="2"/>
      <c r="Z126" s="3"/>
    </row>
    <row r="127" ht="15.75" customHeight="1">
      <c r="A127" s="6" t="str">
        <f>(A126-A125)*C127</f>
        <v>410</v>
      </c>
      <c r="B127" s="6" t="str">
        <f>(B125-B126)*C126</f>
        <v>300</v>
      </c>
      <c r="C127">
        <v>200.0</v>
      </c>
      <c r="D127" t="s">
        <v>16</v>
      </c>
      <c r="E127" s="11" t="str">
        <f>A127</f>
        <v> $ 410.00 </v>
      </c>
      <c r="F127" s="6" t="str">
        <f>(B127+A127)</f>
        <v>710</v>
      </c>
      <c r="G127" t="str">
        <f>IF(F127&gt;0, "TRADE","H")</f>
        <v>TRADE</v>
      </c>
      <c r="H127" s="2"/>
      <c r="Z127" s="3"/>
    </row>
    <row r="128" ht="15.75" customHeight="1">
      <c r="A128" t="s">
        <v>14</v>
      </c>
      <c r="B128" t="s">
        <v>15</v>
      </c>
      <c r="C128" s="9">
        <v>46254.0</v>
      </c>
      <c r="H128" s="2"/>
      <c r="Z128" s="3"/>
    </row>
    <row r="129" ht="15.75" customHeight="1">
      <c r="A129" s="6">
        <v>9880.0</v>
      </c>
      <c r="B129" s="6" t="s">
        <v>17</v>
      </c>
      <c r="H129" s="2"/>
      <c r="Z129" s="3"/>
    </row>
    <row r="130" ht="15.75" customHeight="1">
      <c r="A130" s="10">
        <v>83.7</v>
      </c>
      <c r="B130" s="6">
        <v>92.0</v>
      </c>
      <c r="H130" s="2"/>
      <c r="Z130" s="3"/>
    </row>
    <row r="131" ht="15.75" customHeight="1">
      <c r="A131" s="11">
        <v>86.45</v>
      </c>
      <c r="B131" s="11">
        <v>91.95</v>
      </c>
      <c r="C131">
        <v>200.0</v>
      </c>
      <c r="D131" t="s">
        <v>0</v>
      </c>
      <c r="H131" s="2"/>
      <c r="Z131" s="3"/>
    </row>
    <row r="132" ht="15.75" customHeight="1">
      <c r="A132" s="6" t="str">
        <f>(A131-A130)*C132</f>
        <v>550</v>
      </c>
      <c r="B132" s="6" t="str">
        <f>(B130-B131)*C131</f>
        <v>10</v>
      </c>
      <c r="C132">
        <v>200.0</v>
      </c>
      <c r="D132" t="s">
        <v>16</v>
      </c>
      <c r="E132" s="11" t="str">
        <f>A132</f>
        <v> $ 550.00 </v>
      </c>
      <c r="F132" s="6" t="str">
        <f>(B132+A132)</f>
        <v>560</v>
      </c>
      <c r="G132" t="str">
        <f>IF(F132&gt;0, "TRADE","H")</f>
        <v>TRADE</v>
      </c>
      <c r="H132" s="2"/>
      <c r="Z132" s="3"/>
    </row>
    <row r="133" ht="15.75" customHeight="1">
      <c r="A133" t="s">
        <v>14</v>
      </c>
      <c r="B133" t="s">
        <v>15</v>
      </c>
      <c r="C133" s="9">
        <v>46269.0</v>
      </c>
      <c r="H133" s="2"/>
      <c r="N133" s="3"/>
    </row>
    <row r="134" ht="15.75" customHeight="1">
      <c r="A134" s="6">
        <v>2382.0</v>
      </c>
      <c r="B134" s="6" t="s">
        <v>17</v>
      </c>
      <c r="H134" s="2"/>
    </row>
    <row r="135" ht="15.75" customHeight="1">
      <c r="A135" s="10">
        <v>71.1</v>
      </c>
      <c r="B135" s="6">
        <v>95.15</v>
      </c>
      <c r="H135" s="2"/>
      <c r="Y135" s="3"/>
    </row>
    <row r="136" ht="15.75" customHeight="1">
      <c r="A136" s="11">
        <v>69.75</v>
      </c>
      <c r="B136" s="11">
        <v>90.55</v>
      </c>
      <c r="C136">
        <v>200.0</v>
      </c>
      <c r="H136" s="2"/>
      <c r="Y136" s="3"/>
    </row>
    <row r="137" ht="15.75" customHeight="1">
      <c r="A137" s="6" t="str">
        <f>(A136-A135)*C137</f>
        <v>-270</v>
      </c>
      <c r="B137" s="6" t="str">
        <f>(B135-B136)*C136</f>
        <v>920</v>
      </c>
      <c r="C137">
        <v>200.0</v>
      </c>
      <c r="E137" s="11" t="str">
        <f>A137</f>
        <v>-$ 270.00 </v>
      </c>
      <c r="F137" s="6" t="str">
        <f>(B137+A137)</f>
        <v>650</v>
      </c>
      <c r="G137" t="str">
        <f>IF(F137&gt;0, "TRADE","H")</f>
        <v>TRADE</v>
      </c>
      <c r="H137" s="2"/>
      <c r="N137" s="3"/>
      <c r="Y137" s="3"/>
    </row>
    <row r="138" ht="15.75" customHeight="1">
      <c r="A138" t="s">
        <v>14</v>
      </c>
      <c r="B138" t="s">
        <v>15</v>
      </c>
      <c r="C138" s="9">
        <v>46253.0</v>
      </c>
      <c r="H138" s="2"/>
      <c r="Z138" s="3"/>
    </row>
    <row r="139" ht="15.75" customHeight="1">
      <c r="A139" s="6">
        <v>9880.0</v>
      </c>
      <c r="B139" s="6" t="s">
        <v>17</v>
      </c>
      <c r="H139" s="2"/>
      <c r="Z139" s="3"/>
    </row>
    <row r="140" ht="15.75" customHeight="1">
      <c r="A140" s="10">
        <v>84.1</v>
      </c>
      <c r="B140" s="6">
        <v>89.4</v>
      </c>
      <c r="H140" s="2"/>
      <c r="Z140" s="3"/>
    </row>
    <row r="141" ht="15.75" customHeight="1">
      <c r="A141" s="11">
        <v>88.7</v>
      </c>
      <c r="B141" s="11">
        <v>91.4</v>
      </c>
      <c r="C141">
        <v>200.0</v>
      </c>
      <c r="D141" t="s">
        <v>0</v>
      </c>
      <c r="H141" s="2"/>
      <c r="Z141" s="3"/>
    </row>
    <row r="142" ht="15.75" customHeight="1">
      <c r="A142" s="6" t="str">
        <f>(A141-A140)*C142</f>
        <v>920</v>
      </c>
      <c r="B142" s="6" t="str">
        <f>(B140-B141)*C141</f>
        <v>-400</v>
      </c>
      <c r="C142">
        <v>200.0</v>
      </c>
      <c r="D142" t="s">
        <v>16</v>
      </c>
      <c r="E142" s="11" t="str">
        <f>A142</f>
        <v> $ 920.00 </v>
      </c>
      <c r="F142" s="6" t="str">
        <f>(B142+A142)</f>
        <v>520</v>
      </c>
      <c r="G142" t="str">
        <f>IF(F142&gt;0, "TRADE","H")</f>
        <v>TRADE</v>
      </c>
      <c r="H142" s="2"/>
      <c r="Z142" s="3"/>
    </row>
    <row r="143" ht="15.75" customHeight="1">
      <c r="A143" t="s">
        <v>14</v>
      </c>
      <c r="B143" t="s">
        <v>15</v>
      </c>
      <c r="C143" s="9">
        <v>46265.0</v>
      </c>
    </row>
    <row r="144" ht="15.75" customHeight="1">
      <c r="A144" s="6">
        <v>763.0</v>
      </c>
      <c r="B144" s="6">
        <v>2382.0</v>
      </c>
      <c r="M144" s="3"/>
    </row>
    <row r="145" ht="15.75" customHeight="1">
      <c r="A145" s="10">
        <v>23.5</v>
      </c>
      <c r="B145" s="11">
        <v>70.45</v>
      </c>
    </row>
    <row r="146" ht="15.75" customHeight="1">
      <c r="A146" s="11">
        <v>23.62</v>
      </c>
      <c r="B146" s="11">
        <v>68.95</v>
      </c>
      <c r="C146">
        <v>600.0</v>
      </c>
      <c r="D146" t="s">
        <v>0</v>
      </c>
      <c r="V146" s="3"/>
    </row>
    <row r="147" ht="15.75" customHeight="1">
      <c r="A147" s="6" t="str">
        <f>(A146-A145)*C146</f>
        <v>72</v>
      </c>
      <c r="B147" s="11" t="str">
        <f>C147*(B145-B146)</f>
        <v> $ 300.00 </v>
      </c>
      <c r="C147">
        <v>200.0</v>
      </c>
      <c r="D147" t="s">
        <v>16</v>
      </c>
      <c r="E147" s="11" t="str">
        <f>A147</f>
        <v> $ 72.00 </v>
      </c>
      <c r="F147" s="11" t="str">
        <f>(B147+A147)</f>
        <v> $ 372.00 </v>
      </c>
      <c r="G147" t="str">
        <f>IF(F147&gt;0, "TRADE","H")</f>
        <v>TRADE</v>
      </c>
      <c r="V147" s="3"/>
    </row>
    <row r="148" ht="15.75" customHeight="1">
      <c r="A148" t="s">
        <v>14</v>
      </c>
      <c r="B148" t="s">
        <v>15</v>
      </c>
      <c r="C148" s="9">
        <v>46272.0</v>
      </c>
      <c r="H148" s="2"/>
      <c r="Z148" s="3"/>
    </row>
    <row r="149" ht="15.75" customHeight="1">
      <c r="A149" s="6" t="s">
        <v>17</v>
      </c>
      <c r="B149" s="6">
        <v>9880.0</v>
      </c>
      <c r="H149" s="2"/>
      <c r="Z149" s="3"/>
    </row>
    <row r="150" ht="15.75" customHeight="1">
      <c r="A150" s="10">
        <v>91.4</v>
      </c>
      <c r="B150" s="6">
        <v>88.7</v>
      </c>
      <c r="H150" s="2"/>
      <c r="Z150" s="3"/>
    </row>
    <row r="151" ht="15.75" customHeight="1">
      <c r="A151" s="11">
        <v>91.35</v>
      </c>
      <c r="B151" s="11">
        <v>85.7</v>
      </c>
      <c r="C151">
        <v>200.0</v>
      </c>
      <c r="D151" t="s">
        <v>0</v>
      </c>
      <c r="H151" s="2"/>
      <c r="Z151" s="3"/>
    </row>
    <row r="152" ht="15.75" customHeight="1">
      <c r="A152" s="6" t="str">
        <f>(A151-A150)*C152</f>
        <v>-10</v>
      </c>
      <c r="B152" s="6" t="str">
        <f>(B150-B151)*C151</f>
        <v>600</v>
      </c>
      <c r="C152">
        <v>200.0</v>
      </c>
      <c r="D152" t="s">
        <v>16</v>
      </c>
      <c r="E152" s="11" t="str">
        <f>A152</f>
        <v>-$ 10.00 </v>
      </c>
      <c r="F152" s="6" t="str">
        <f>(B152+A152)</f>
        <v>590</v>
      </c>
      <c r="G152" t="str">
        <f>IF(F152&gt;0, "TRADE","H")</f>
        <v>TRADE</v>
      </c>
      <c r="H152" s="2"/>
      <c r="Z152" s="3"/>
    </row>
    <row r="153" ht="15.75" customHeight="1">
      <c r="A153" s="1">
        <v>46273.0</v>
      </c>
      <c r="B153" s="1"/>
      <c r="D153" s="6"/>
      <c r="E153" s="6"/>
      <c r="F153" s="4"/>
      <c r="H153" s="2"/>
      <c r="Q153" s="3"/>
      <c r="R153" s="3"/>
      <c r="S153" s="3"/>
      <c r="U153" s="6"/>
      <c r="V153" s="6"/>
      <c r="W153" s="6"/>
      <c r="X153" s="6"/>
      <c r="Y153" s="6"/>
      <c r="Z153" s="3"/>
    </row>
    <row r="154" ht="15.75" customHeight="1">
      <c r="A154" t="s">
        <v>14</v>
      </c>
      <c r="B154" t="s">
        <v>15</v>
      </c>
      <c r="C154" s="9">
        <v>46272.0</v>
      </c>
      <c r="H154" s="2"/>
      <c r="Z154" s="3"/>
    </row>
    <row r="155" ht="15.75" customHeight="1">
      <c r="A155" s="6">
        <v>9880.0</v>
      </c>
      <c r="B155" s="6" t="s">
        <v>17</v>
      </c>
      <c r="H155" s="2"/>
      <c r="Z155" s="3"/>
    </row>
    <row r="156" ht="15.75" customHeight="1">
      <c r="A156" s="10">
        <v>85.7</v>
      </c>
      <c r="B156" s="6">
        <v>91.35</v>
      </c>
      <c r="H156" s="2"/>
      <c r="Z156" s="3"/>
    </row>
    <row r="157" ht="15.75" customHeight="1">
      <c r="A157" s="11">
        <v>88.35</v>
      </c>
      <c r="B157" s="11">
        <v>91.25</v>
      </c>
      <c r="C157">
        <v>200.0</v>
      </c>
      <c r="D157" t="s">
        <v>0</v>
      </c>
      <c r="H157" s="2"/>
      <c r="Z157" s="3"/>
    </row>
    <row r="158" ht="15.75" customHeight="1">
      <c r="A158" s="6" t="str">
        <f>(A157-A156)*C158</f>
        <v>530</v>
      </c>
      <c r="B158" s="6" t="str">
        <f>(B156-B157)*C157</f>
        <v>20</v>
      </c>
      <c r="C158">
        <v>200.0</v>
      </c>
      <c r="D158" t="s">
        <v>16</v>
      </c>
      <c r="E158" s="11" t="str">
        <f>A158</f>
        <v> $ 530.00 </v>
      </c>
      <c r="F158" s="6" t="str">
        <f>(B158+A158)</f>
        <v>550</v>
      </c>
      <c r="G158" t="str">
        <f>IF(F158&gt;0, "TRADE","H")</f>
        <v>TRADE</v>
      </c>
      <c r="H158" s="2"/>
      <c r="Z158" s="3"/>
    </row>
    <row r="159" ht="15.75" customHeight="1">
      <c r="A159" t="s">
        <v>14</v>
      </c>
      <c r="B159" t="s">
        <v>15</v>
      </c>
      <c r="C159" s="9">
        <v>46265.0</v>
      </c>
    </row>
    <row r="160" ht="15.75" customHeight="1">
      <c r="A160" s="6">
        <v>763.0</v>
      </c>
      <c r="B160" s="6">
        <v>2382.0</v>
      </c>
      <c r="M160" s="3"/>
    </row>
    <row r="161" ht="15.75" customHeight="1">
      <c r="A161" s="10">
        <v>23.54</v>
      </c>
      <c r="B161" s="11">
        <v>69.1</v>
      </c>
    </row>
    <row r="162" ht="15.75" customHeight="1">
      <c r="A162" s="11">
        <v>23.82</v>
      </c>
      <c r="B162" s="11">
        <v>68.4</v>
      </c>
      <c r="C162">
        <v>600.0</v>
      </c>
      <c r="D162" t="s">
        <v>0</v>
      </c>
      <c r="V162" s="3"/>
    </row>
    <row r="163" ht="15.75" customHeight="1">
      <c r="A163" s="6" t="str">
        <f>(A162-A161)*C162</f>
        <v>168</v>
      </c>
      <c r="B163" s="11" t="str">
        <f>C163*(B161-B162)</f>
        <v> $ 140.00 </v>
      </c>
      <c r="C163">
        <v>200.0</v>
      </c>
      <c r="D163" t="s">
        <v>16</v>
      </c>
      <c r="E163" s="11" t="str">
        <f>A163</f>
        <v> $ 168.00 </v>
      </c>
      <c r="F163" s="11" t="str">
        <f>(B163+A163)</f>
        <v> $ 308.00 </v>
      </c>
      <c r="G163" t="str">
        <f>IF(F163&gt;0, "TRADE","H")</f>
        <v>TRADE</v>
      </c>
      <c r="V163" s="3"/>
    </row>
    <row r="164" ht="15.75" customHeight="1">
      <c r="A164" t="s">
        <v>14</v>
      </c>
      <c r="B164" t="s">
        <v>15</v>
      </c>
      <c r="C164" s="9">
        <v>46273.0</v>
      </c>
      <c r="H164" s="2"/>
      <c r="Z164" s="3"/>
    </row>
    <row r="165" ht="15.75" customHeight="1">
      <c r="A165" s="6" t="s">
        <v>17</v>
      </c>
      <c r="B165" s="6">
        <v>9880.0</v>
      </c>
      <c r="H165" s="2"/>
      <c r="Z165" s="3"/>
    </row>
    <row r="166" ht="15.75" customHeight="1">
      <c r="A166" s="10">
        <v>91.25</v>
      </c>
      <c r="B166" s="6">
        <v>88.35</v>
      </c>
      <c r="H166" s="2"/>
      <c r="Z166" s="3"/>
    </row>
    <row r="167" ht="15.75" customHeight="1">
      <c r="A167" s="11">
        <v>90.0</v>
      </c>
      <c r="B167" s="11">
        <v>84.85</v>
      </c>
      <c r="C167">
        <v>200.0</v>
      </c>
      <c r="D167" t="s">
        <v>0</v>
      </c>
      <c r="H167" s="2"/>
      <c r="Z167" s="3"/>
    </row>
    <row r="168" ht="15.75" customHeight="1">
      <c r="A168" s="6" t="str">
        <f>(A167-A166)*C168</f>
        <v>-250</v>
      </c>
      <c r="B168" s="6" t="str">
        <f>(B166-B167)*C167</f>
        <v>700</v>
      </c>
      <c r="C168">
        <v>200.0</v>
      </c>
      <c r="D168" t="s">
        <v>16</v>
      </c>
      <c r="E168" s="11" t="str">
        <f>A168</f>
        <v>-$ 250.00 </v>
      </c>
      <c r="F168" s="6" t="str">
        <f>(B168+A168)</f>
        <v>450</v>
      </c>
      <c r="G168" t="str">
        <f>IF(F168&gt;0, "TRADE","H")</f>
        <v>TRADE</v>
      </c>
      <c r="H168" s="2"/>
      <c r="Z168" s="3"/>
    </row>
    <row r="169" ht="15.75" customHeight="1">
      <c r="A169" s="1">
        <v>46274.0</v>
      </c>
      <c r="B169" s="1"/>
      <c r="D169" s="6"/>
      <c r="E169" s="6"/>
      <c r="F169" s="4"/>
      <c r="H169" s="2"/>
      <c r="Q169" s="3"/>
      <c r="R169" s="3"/>
      <c r="S169" s="3"/>
      <c r="U169" s="6"/>
      <c r="V169" s="6"/>
      <c r="W169" s="6"/>
      <c r="X169" s="6"/>
      <c r="Y169" s="6"/>
      <c r="Z169" s="3"/>
    </row>
    <row r="170" ht="15.75" customHeight="1">
      <c r="A170" t="s">
        <v>14</v>
      </c>
      <c r="B170" t="s">
        <v>15</v>
      </c>
      <c r="C170" s="9">
        <v>46216.0</v>
      </c>
    </row>
    <row r="171" ht="15.75" customHeight="1">
      <c r="A171" s="6">
        <v>6680.0</v>
      </c>
      <c r="B171" s="6">
        <v>1211.0</v>
      </c>
      <c r="M171" s="3"/>
    </row>
    <row r="172" ht="15.75" customHeight="1">
      <c r="A172" s="10">
        <v>16.63</v>
      </c>
      <c r="B172" s="11">
        <v>84.5</v>
      </c>
    </row>
    <row r="173" ht="15.75" customHeight="1">
      <c r="A173" s="11">
        <v>16.44</v>
      </c>
      <c r="B173" s="11">
        <v>82.1</v>
      </c>
      <c r="C173" s="12">
        <v>800.0</v>
      </c>
      <c r="D173" t="s">
        <v>0</v>
      </c>
      <c r="V173" s="3"/>
    </row>
    <row r="174" ht="15.75" customHeight="1">
      <c r="A174" s="6" t="str">
        <f>(A173-A172)*C173</f>
        <v>-152</v>
      </c>
      <c r="B174" s="11" t="str">
        <f>C174*(B172-B173)</f>
        <v> $ 480.00 </v>
      </c>
      <c r="C174" s="12">
        <v>200.0</v>
      </c>
      <c r="D174" t="s">
        <v>16</v>
      </c>
      <c r="E174" s="11" t="str">
        <f>A174</f>
        <v>-$ 152.00 </v>
      </c>
      <c r="F174" s="11" t="str">
        <f>(B174+A174)</f>
        <v> $ 328.00 </v>
      </c>
      <c r="G174" t="str">
        <f>IF(F174&gt;0, "TRADE","H")</f>
        <v>TRADE</v>
      </c>
      <c r="V174" s="3"/>
    </row>
    <row r="175" ht="15.75" customHeight="1">
      <c r="A175" t="s">
        <v>14</v>
      </c>
      <c r="B175" t="s">
        <v>15</v>
      </c>
      <c r="C175" s="9">
        <v>46216.0</v>
      </c>
    </row>
    <row r="176" ht="15.75" customHeight="1">
      <c r="A176" s="6">
        <v>6680.0</v>
      </c>
      <c r="B176" s="6">
        <v>1211.0</v>
      </c>
      <c r="M176" s="3"/>
    </row>
    <row r="177" ht="15.75" customHeight="1">
      <c r="A177" s="10">
        <v>16.69</v>
      </c>
      <c r="B177" s="11">
        <v>84.05</v>
      </c>
    </row>
    <row r="178" ht="15.75" customHeight="1">
      <c r="A178" s="11">
        <v>16.76</v>
      </c>
      <c r="B178" s="11">
        <v>82.4</v>
      </c>
      <c r="C178" s="12">
        <v>800.0</v>
      </c>
      <c r="D178" t="s">
        <v>0</v>
      </c>
      <c r="V178" s="3"/>
    </row>
    <row r="179" ht="15.75" customHeight="1">
      <c r="A179" s="6" t="str">
        <f>(A178-A177)*C178</f>
        <v>56</v>
      </c>
      <c r="B179" s="11" t="str">
        <f>C179*(B177-B178)</f>
        <v> $ 330.00 </v>
      </c>
      <c r="C179" s="12">
        <v>200.0</v>
      </c>
      <c r="D179" t="s">
        <v>16</v>
      </c>
      <c r="E179" s="11" t="str">
        <f>A179</f>
        <v> $ 56.00 </v>
      </c>
      <c r="F179" s="11" t="str">
        <f>(B179+A179)</f>
        <v> $ 386.00 </v>
      </c>
      <c r="G179" t="str">
        <f>IF(F179&gt;0, "TRADE","H")</f>
        <v>TRADE</v>
      </c>
      <c r="V179" s="3"/>
    </row>
    <row r="180" ht="15.75" customHeight="1">
      <c r="A180" t="s">
        <v>14</v>
      </c>
      <c r="B180" t="s">
        <v>15</v>
      </c>
      <c r="C180" s="9">
        <v>46178.0</v>
      </c>
      <c r="K180" s="3"/>
    </row>
    <row r="181" ht="15.75" customHeight="1">
      <c r="A181" s="6">
        <v>2522.0</v>
      </c>
      <c r="B181" s="6">
        <v>2587.0</v>
      </c>
      <c r="I181" s="3"/>
    </row>
    <row r="182" ht="15.75" customHeight="1">
      <c r="A182" s="10">
        <v>6.96</v>
      </c>
      <c r="B182" s="6">
        <v>3.53</v>
      </c>
      <c r="M182" s="3"/>
    </row>
    <row r="183" ht="15.75" customHeight="1">
      <c r="A183" s="11">
        <v>5.015</v>
      </c>
      <c r="B183" s="11">
        <v>1.065</v>
      </c>
      <c r="C183" s="12">
        <v>500.0</v>
      </c>
      <c r="H183" s="2"/>
      <c r="Y183" s="3"/>
    </row>
    <row r="184" ht="15.75" customHeight="1">
      <c r="A184" s="6" t="str">
        <f>(A183-A182)*C184</f>
        <v>-972.5</v>
      </c>
      <c r="B184" s="11" t="str">
        <f>C183*(B182-B183)</f>
        <v> $ 1,232.50 </v>
      </c>
      <c r="C184" s="12">
        <v>500.0</v>
      </c>
      <c r="E184" s="11" t="str">
        <f>A184</f>
        <v>-$ 972.50 </v>
      </c>
      <c r="F184" s="11" t="str">
        <f>(B184+A184)</f>
        <v> $ 260.00 </v>
      </c>
      <c r="G184" t="str">
        <f>IF(F184&gt;0, "TRADE","H")</f>
        <v>TRADE</v>
      </c>
      <c r="H184" s="2"/>
      <c r="Y184" s="3"/>
    </row>
    <row r="185" ht="15.75" customHeight="1">
      <c r="A185" t="s">
        <v>14</v>
      </c>
      <c r="B185" t="s">
        <v>15</v>
      </c>
      <c r="C185" s="9">
        <v>46272.0</v>
      </c>
      <c r="H185" s="2"/>
      <c r="Z185" s="3"/>
    </row>
    <row r="186" ht="15.75" customHeight="1">
      <c r="A186" s="6" t="s">
        <v>17</v>
      </c>
      <c r="B186" s="6">
        <v>9880.0</v>
      </c>
      <c r="H186" s="2"/>
      <c r="Z186" s="3"/>
    </row>
    <row r="187" ht="15.75" customHeight="1">
      <c r="A187" s="10">
        <v>91.95</v>
      </c>
      <c r="B187" s="6">
        <v>86.45</v>
      </c>
      <c r="H187" s="2"/>
      <c r="Z187" s="3"/>
    </row>
    <row r="188" ht="15.75" customHeight="1">
      <c r="A188" s="11">
        <v>92.1</v>
      </c>
      <c r="B188" s="11">
        <v>84.3</v>
      </c>
      <c r="C188">
        <v>200.0</v>
      </c>
      <c r="D188" t="s">
        <v>0</v>
      </c>
      <c r="H188" s="2"/>
      <c r="Z188" s="3"/>
    </row>
    <row r="189" ht="15.75" customHeight="1">
      <c r="A189" s="6" t="str">
        <f>(A188-A187)*C189</f>
        <v>30</v>
      </c>
      <c r="B189" s="6" t="str">
        <f>(B187-B188)*C188</f>
        <v>430</v>
      </c>
      <c r="C189">
        <v>200.0</v>
      </c>
      <c r="D189" t="s">
        <v>16</v>
      </c>
      <c r="E189" s="11" t="str">
        <f>A189</f>
        <v> $ 30.00 </v>
      </c>
      <c r="F189" s="6" t="str">
        <f>(B189+A189)</f>
        <v>460</v>
      </c>
      <c r="G189" t="str">
        <f>IF(F189&gt;0, "TRADE","H")</f>
        <v>TRADE</v>
      </c>
      <c r="H189" s="2"/>
      <c r="Z189" s="3"/>
    </row>
    <row r="190" ht="15.75" customHeight="1">
      <c r="A190" t="s">
        <v>14</v>
      </c>
      <c r="B190" t="s">
        <v>15</v>
      </c>
      <c r="C190" s="9">
        <v>46272.0</v>
      </c>
      <c r="J190" s="3"/>
    </row>
    <row r="191" ht="15.75" customHeight="1">
      <c r="A191" s="6" t="s">
        <v>17</v>
      </c>
      <c r="B191" s="6">
        <v>2382.0</v>
      </c>
    </row>
    <row r="192" ht="15.75" customHeight="1">
      <c r="A192" s="10">
        <v>90.55</v>
      </c>
      <c r="B192" s="6">
        <v>69.75</v>
      </c>
      <c r="U192" s="3"/>
    </row>
    <row r="193" ht="15.75" customHeight="1">
      <c r="A193" s="11">
        <v>92.45</v>
      </c>
      <c r="B193" s="11">
        <v>68.05</v>
      </c>
      <c r="C193">
        <v>200.0</v>
      </c>
      <c r="H193" s="2"/>
      <c r="Y193" s="3"/>
    </row>
    <row r="194" ht="15.75" customHeight="1">
      <c r="A194" s="6" t="str">
        <f>(A193-A192)*C194</f>
        <v>380</v>
      </c>
      <c r="B194" s="6" t="str">
        <f>(B192-B193)*C193</f>
        <v>340</v>
      </c>
      <c r="C194">
        <v>200.0</v>
      </c>
      <c r="E194" s="11" t="str">
        <f>A194</f>
        <v> $ 380.00 </v>
      </c>
      <c r="F194" s="6" t="str">
        <f>(B194+A194)</f>
        <v>720</v>
      </c>
      <c r="G194" t="str">
        <f>IF(F194&gt;0, "TRADE","H")</f>
        <v>TRADE</v>
      </c>
      <c r="H194" s="2"/>
      <c r="N194" s="3"/>
      <c r="Y194" s="3"/>
    </row>
    <row r="195" ht="15.75" customHeight="1">
      <c r="A195" t="s">
        <v>14</v>
      </c>
      <c r="B195" t="s">
        <v>15</v>
      </c>
      <c r="C195" s="9">
        <v>46178.0</v>
      </c>
      <c r="K195" s="3"/>
    </row>
    <row r="196" ht="15.75" customHeight="1">
      <c r="A196" s="6">
        <v>2522.0</v>
      </c>
      <c r="B196" s="6">
        <v>2587.0</v>
      </c>
      <c r="I196" s="3"/>
    </row>
    <row r="197" ht="15.75" customHeight="1">
      <c r="A197" s="10">
        <v>6.96</v>
      </c>
      <c r="B197" s="6">
        <v>3.53</v>
      </c>
      <c r="M197" s="3"/>
    </row>
    <row r="198" ht="15.75" customHeight="1">
      <c r="A198" s="11">
        <v>5.205</v>
      </c>
      <c r="B198" s="11">
        <v>1.04</v>
      </c>
      <c r="C198" s="12">
        <v>500.0</v>
      </c>
      <c r="H198" s="2"/>
      <c r="Y198" s="3"/>
    </row>
    <row r="199" ht="15.75" customHeight="1">
      <c r="A199" s="6" t="str">
        <f>(A198-A197)*C199</f>
        <v>-877.5</v>
      </c>
      <c r="B199" s="11" t="str">
        <f>C198*(B197-B198)</f>
        <v> $ 1,245.00 </v>
      </c>
      <c r="C199" s="12">
        <v>500.0</v>
      </c>
      <c r="E199" s="11" t="str">
        <f>A199</f>
        <v>-$ 877.50 </v>
      </c>
      <c r="F199" s="11" t="str">
        <f>(B199+A199)</f>
        <v> $ 367.50 </v>
      </c>
      <c r="G199" t="str">
        <f>IF(F199&gt;0, "TRADE","H")</f>
        <v>TRADE</v>
      </c>
      <c r="H199" s="2"/>
      <c r="Y199" s="3"/>
    </row>
    <row r="200" ht="15.75" customHeight="1">
      <c r="A200" t="s">
        <v>14</v>
      </c>
      <c r="B200" t="s">
        <v>15</v>
      </c>
      <c r="C200" s="9">
        <v>46273.0</v>
      </c>
    </row>
    <row r="201" ht="15.75" customHeight="1">
      <c r="A201" s="6">
        <v>2382.0</v>
      </c>
      <c r="B201" s="6">
        <v>763.0</v>
      </c>
      <c r="I201" s="12"/>
      <c r="M201" s="3"/>
    </row>
    <row r="202" ht="15.75" customHeight="1">
      <c r="A202" s="10">
        <v>68.4</v>
      </c>
      <c r="B202" s="11">
        <v>23.82</v>
      </c>
    </row>
    <row r="203" ht="15.75" customHeight="1">
      <c r="A203" s="11">
        <v>68.4</v>
      </c>
      <c r="B203" s="11">
        <v>23.3</v>
      </c>
      <c r="C203">
        <v>200.0</v>
      </c>
      <c r="D203" t="s">
        <v>0</v>
      </c>
      <c r="V203" s="3"/>
    </row>
    <row r="204" ht="15.75" customHeight="1">
      <c r="A204" s="6" t="str">
        <f>(A203-A202)*C203</f>
        <v>0</v>
      </c>
      <c r="B204" s="11" t="str">
        <f>C204*(B202-B203)</f>
        <v> $ 312.00 </v>
      </c>
      <c r="C204">
        <v>600.0</v>
      </c>
      <c r="D204" t="s">
        <v>16</v>
      </c>
      <c r="E204" s="11" t="str">
        <f>A204</f>
        <v> $ -   </v>
      </c>
      <c r="F204" s="11" t="str">
        <f>(B204+A204)</f>
        <v> $ 312.00 </v>
      </c>
      <c r="G204" t="str">
        <f>IF(F204&gt;0, "TRADE","H")</f>
        <v>TRADE</v>
      </c>
      <c r="V204" s="3"/>
    </row>
    <row r="205" ht="15.75" customHeight="1">
      <c r="A205" s="1">
        <v>46275.0</v>
      </c>
      <c r="B205" s="1"/>
      <c r="D205" s="6"/>
      <c r="E205" s="6"/>
      <c r="F205" s="4"/>
      <c r="H205" s="2"/>
      <c r="Q205" s="3"/>
      <c r="R205" s="3"/>
      <c r="S205" s="3"/>
      <c r="U205" s="6"/>
      <c r="V205" s="6"/>
      <c r="W205" s="6"/>
      <c r="X205" s="6"/>
      <c r="Y205" s="6"/>
      <c r="Z205" s="3"/>
    </row>
    <row r="206" ht="15.75" customHeight="1">
      <c r="A206" t="s">
        <v>14</v>
      </c>
      <c r="B206" t="s">
        <v>15</v>
      </c>
      <c r="C206" s="9">
        <v>46274.0</v>
      </c>
      <c r="H206" s="2"/>
      <c r="N206" s="3"/>
    </row>
    <row r="207" ht="15.75" customHeight="1">
      <c r="A207" s="6">
        <v>2382.0</v>
      </c>
      <c r="B207" s="6" t="s">
        <v>17</v>
      </c>
      <c r="H207" s="2"/>
    </row>
    <row r="208" ht="15.75" customHeight="1">
      <c r="A208" s="10">
        <v>68.05</v>
      </c>
      <c r="B208" s="6">
        <v>92.45</v>
      </c>
      <c r="H208" s="2"/>
      <c r="Y208" s="3"/>
    </row>
    <row r="209" ht="15.75" customHeight="1">
      <c r="A209" s="11">
        <v>68.9</v>
      </c>
      <c r="B209" s="11">
        <v>89.4</v>
      </c>
      <c r="C209">
        <v>200.0</v>
      </c>
      <c r="H209" s="2"/>
      <c r="Y209" s="3"/>
    </row>
    <row r="210" ht="15.75" customHeight="1">
      <c r="A210" s="6" t="str">
        <f>(A209-A208)*C210</f>
        <v>170</v>
      </c>
      <c r="B210" s="6" t="str">
        <f>(B208-B209)*C209</f>
        <v>610</v>
      </c>
      <c r="C210">
        <v>200.0</v>
      </c>
      <c r="E210" s="11" t="str">
        <f>A210</f>
        <v> $ 170.00 </v>
      </c>
      <c r="F210" s="6" t="str">
        <f>(B210+A210)</f>
        <v>780</v>
      </c>
      <c r="G210" t="str">
        <f>IF(F210&gt;0, "TRADE","H")</f>
        <v>TRADE</v>
      </c>
      <c r="H210" s="2"/>
      <c r="N210" s="3"/>
      <c r="Y210" s="3"/>
    </row>
    <row r="211" ht="15.75" customHeight="1">
      <c r="A211" t="s">
        <v>14</v>
      </c>
      <c r="B211" t="s">
        <v>15</v>
      </c>
      <c r="C211" s="9">
        <v>46272.0</v>
      </c>
    </row>
    <row r="212" ht="15.75" customHeight="1">
      <c r="A212" s="6">
        <v>2382.0</v>
      </c>
      <c r="B212" s="6">
        <v>763.0</v>
      </c>
      <c r="I212" s="12"/>
      <c r="M212" s="3"/>
    </row>
    <row r="213" ht="15.75" customHeight="1">
      <c r="A213" s="10">
        <v>68.95</v>
      </c>
      <c r="B213" s="11">
        <v>23.62</v>
      </c>
    </row>
    <row r="214" ht="15.75" customHeight="1">
      <c r="A214" s="11">
        <v>69.2</v>
      </c>
      <c r="B214" s="11">
        <v>23.16</v>
      </c>
      <c r="C214">
        <v>200.0</v>
      </c>
      <c r="D214" t="s">
        <v>0</v>
      </c>
      <c r="V214" s="3"/>
    </row>
    <row r="215" ht="15.75" customHeight="1">
      <c r="A215" s="6" t="str">
        <f>(A214-A213)*C214</f>
        <v>50</v>
      </c>
      <c r="B215" s="11" t="str">
        <f>C215*(B213-B214)</f>
        <v> $ 276.00 </v>
      </c>
      <c r="C215">
        <v>600.0</v>
      </c>
      <c r="D215" t="s">
        <v>16</v>
      </c>
      <c r="E215" s="11" t="str">
        <f>A215</f>
        <v> $ 50.00 </v>
      </c>
      <c r="F215" s="11" t="str">
        <f>(B215+A215)</f>
        <v> $ 326.00 </v>
      </c>
      <c r="G215" t="str">
        <f>IF(F215&gt;0, "TRADE","H")</f>
        <v>TRADE</v>
      </c>
      <c r="V215" s="3"/>
    </row>
    <row r="216" ht="15.75" customHeight="1">
      <c r="A216" s="1">
        <v>46276.0</v>
      </c>
      <c r="B216" s="1"/>
      <c r="D216" s="6"/>
      <c r="E216" s="6"/>
      <c r="F216" s="4"/>
      <c r="H216" s="2"/>
      <c r="Q216" s="3"/>
      <c r="R216" s="3"/>
      <c r="S216" s="3"/>
      <c r="U216" s="6"/>
      <c r="V216" s="6"/>
      <c r="W216" s="6"/>
      <c r="X216" s="6"/>
      <c r="Y216" s="6"/>
      <c r="Z216" s="3"/>
    </row>
    <row r="217" ht="15.75" customHeight="1">
      <c r="A217" t="s">
        <v>14</v>
      </c>
      <c r="B217" t="s">
        <v>15</v>
      </c>
      <c r="C217" s="9">
        <v>46272.0</v>
      </c>
      <c r="H217" s="2"/>
      <c r="Z217" s="3"/>
    </row>
    <row r="218" ht="15.75" customHeight="1">
      <c r="A218" s="6" t="s">
        <v>17</v>
      </c>
      <c r="B218" s="6">
        <v>9880.0</v>
      </c>
      <c r="H218" s="2"/>
      <c r="Z218" s="3"/>
    </row>
    <row r="219" ht="15.75" customHeight="1">
      <c r="A219" s="10">
        <v>92.25</v>
      </c>
      <c r="B219" s="6">
        <v>84.05</v>
      </c>
      <c r="H219" s="2"/>
      <c r="Z219" s="3"/>
    </row>
    <row r="220" ht="15.75" customHeight="1">
      <c r="A220" s="11">
        <v>88.5</v>
      </c>
      <c r="B220" s="11">
        <v>77.95</v>
      </c>
      <c r="C220">
        <v>200.0</v>
      </c>
      <c r="D220" t="s">
        <v>0</v>
      </c>
      <c r="H220" s="2"/>
      <c r="Z220" s="3"/>
    </row>
    <row r="221" ht="15.75" customHeight="1">
      <c r="A221" s="6" t="str">
        <f>(A220-A219)*C221</f>
        <v>-750</v>
      </c>
      <c r="B221" s="6" t="str">
        <f>(B219-B220)*C220</f>
        <v>1220</v>
      </c>
      <c r="C221">
        <v>200.0</v>
      </c>
      <c r="D221" t="s">
        <v>16</v>
      </c>
      <c r="E221" s="11" t="str">
        <f>A221</f>
        <v>-$ 750.00 </v>
      </c>
      <c r="F221" s="6" t="str">
        <f>(B221+A221)</f>
        <v>470</v>
      </c>
      <c r="G221" t="str">
        <f>IF(F221&gt;0, "TRADE","H")</f>
        <v>TRADE</v>
      </c>
      <c r="H221" s="2"/>
      <c r="Z221" s="3"/>
    </row>
    <row r="222" ht="15.75" customHeight="1">
      <c r="A222" t="s">
        <v>14</v>
      </c>
      <c r="B222" t="s">
        <v>15</v>
      </c>
      <c r="C222" s="9">
        <v>46272.0</v>
      </c>
      <c r="H222" s="2"/>
      <c r="Z222" s="3"/>
    </row>
    <row r="223" ht="15.75" customHeight="1">
      <c r="A223" s="6" t="s">
        <v>17</v>
      </c>
      <c r="B223" s="6">
        <v>9880.0</v>
      </c>
      <c r="H223" s="2"/>
      <c r="Z223" s="3"/>
    </row>
    <row r="224" ht="15.75" customHeight="1">
      <c r="A224" s="10">
        <v>93.85</v>
      </c>
      <c r="B224" s="6">
        <v>84.4</v>
      </c>
      <c r="H224" s="2"/>
      <c r="Z224" s="3"/>
    </row>
    <row r="225" ht="15.75" customHeight="1">
      <c r="A225" s="11">
        <v>88.65</v>
      </c>
      <c r="B225" s="11">
        <v>76.65</v>
      </c>
      <c r="C225">
        <v>200.0</v>
      </c>
      <c r="D225" t="s">
        <v>0</v>
      </c>
      <c r="H225" s="2"/>
      <c r="Z225" s="3"/>
    </row>
    <row r="226" ht="15.75" customHeight="1">
      <c r="A226" s="6" t="str">
        <f>(A225-A224)*C226</f>
        <v>-1040</v>
      </c>
      <c r="B226" s="6" t="str">
        <f>(B224-B225)*C225</f>
        <v>1550</v>
      </c>
      <c r="C226">
        <v>200.0</v>
      </c>
      <c r="D226" t="s">
        <v>16</v>
      </c>
      <c r="E226" s="11" t="str">
        <f>A226</f>
        <v>-$ 1,040.00 </v>
      </c>
      <c r="F226" s="6" t="str">
        <f>(B226+A226)</f>
        <v>510</v>
      </c>
      <c r="G226" t="str">
        <f>IF(F226&gt;0, "TRADE","H")</f>
        <v>TRADE</v>
      </c>
      <c r="H226" s="2"/>
      <c r="Z226" s="3"/>
    </row>
    <row r="227" ht="15.75" customHeight="1">
      <c r="A227" t="s">
        <v>14</v>
      </c>
      <c r="B227" t="s">
        <v>15</v>
      </c>
      <c r="C227" s="9">
        <v>46268.0</v>
      </c>
    </row>
    <row r="228" ht="15.75" customHeight="1">
      <c r="A228" s="6">
        <v>2382.0</v>
      </c>
      <c r="B228" s="6">
        <v>763.0</v>
      </c>
      <c r="I228" s="12"/>
      <c r="M228" s="3"/>
    </row>
    <row r="229" ht="15.75" customHeight="1">
      <c r="A229" s="10">
        <v>70.65</v>
      </c>
      <c r="B229" s="11">
        <v>23.66</v>
      </c>
    </row>
    <row r="230" ht="15.75" customHeight="1">
      <c r="A230" s="11">
        <v>69.5</v>
      </c>
      <c r="B230" s="11">
        <v>22.66</v>
      </c>
      <c r="C230">
        <v>200.0</v>
      </c>
      <c r="D230" t="s">
        <v>0</v>
      </c>
      <c r="V230" s="3"/>
    </row>
    <row r="231" ht="15.75" customHeight="1">
      <c r="A231" s="6" t="str">
        <f>(A230-A229)*C230</f>
        <v>-230</v>
      </c>
      <c r="B231" s="11" t="str">
        <f>C231*(B229-B230)</f>
        <v> $ 600.00 </v>
      </c>
      <c r="C231">
        <v>600.0</v>
      </c>
      <c r="D231" t="s">
        <v>16</v>
      </c>
      <c r="E231" s="11" t="str">
        <f>A231</f>
        <v>-$ 230.00 </v>
      </c>
      <c r="F231" s="11" t="str">
        <f>(B231+A231)</f>
        <v> $ 370.00 </v>
      </c>
      <c r="G231" t="str">
        <f>IF(F231&gt;0, "TRADE","H")</f>
        <v>TRADE</v>
      </c>
      <c r="V231" s="3"/>
    </row>
    <row r="232" ht="15.75" customHeight="1">
      <c r="A232" t="s">
        <v>14</v>
      </c>
      <c r="B232" t="s">
        <v>15</v>
      </c>
      <c r="C232" s="9">
        <v>46274.0</v>
      </c>
    </row>
    <row r="233" ht="15.75" customHeight="1">
      <c r="A233" s="6">
        <v>1211.0</v>
      </c>
      <c r="B233" s="6">
        <v>6680.0</v>
      </c>
      <c r="M233" s="3"/>
    </row>
    <row r="234" ht="15.75" customHeight="1">
      <c r="A234" s="10">
        <v>82.4</v>
      </c>
      <c r="B234" s="11">
        <v>16.76</v>
      </c>
    </row>
    <row r="235" ht="15.75" customHeight="1">
      <c r="A235" s="11">
        <v>79.25</v>
      </c>
      <c r="B235" s="11">
        <v>15.57</v>
      </c>
      <c r="C235" s="12">
        <v>200.0</v>
      </c>
      <c r="D235" t="s">
        <v>0</v>
      </c>
      <c r="V235" s="3"/>
    </row>
    <row r="236" ht="15.75" customHeight="1">
      <c r="A236" s="6" t="str">
        <f>(A235-A234)*C235</f>
        <v>-630</v>
      </c>
      <c r="B236" s="11" t="str">
        <f>C236*(B234-B235)</f>
        <v> $ 952.00 </v>
      </c>
      <c r="C236" s="12">
        <v>800.0</v>
      </c>
      <c r="D236" t="s">
        <v>16</v>
      </c>
      <c r="E236" s="11" t="str">
        <f>A236</f>
        <v>-$ 630.00 </v>
      </c>
      <c r="F236" s="11" t="str">
        <f>(B236+A236)</f>
        <v> $ 322.00 </v>
      </c>
      <c r="G236" t="str">
        <f>IF(F236&gt;0, "TRADE","H")</f>
        <v>TRADE</v>
      </c>
      <c r="V236" s="3"/>
    </row>
    <row r="237" ht="15.75" customHeight="1">
      <c r="A237" s="1">
        <v>46279.0</v>
      </c>
      <c r="B237" s="1"/>
      <c r="D237" s="6"/>
      <c r="E237" s="6"/>
      <c r="F237" s="4"/>
      <c r="H237" s="2"/>
      <c r="Q237" s="3"/>
      <c r="R237" s="3"/>
      <c r="S237" s="3"/>
      <c r="U237" s="6"/>
      <c r="V237" s="6"/>
      <c r="W237" s="6"/>
      <c r="X237" s="6"/>
      <c r="Y237" s="6"/>
      <c r="Z237" s="3"/>
    </row>
    <row r="238" ht="15.75" customHeight="1">
      <c r="A238" t="s">
        <v>14</v>
      </c>
      <c r="B238" t="s">
        <v>15</v>
      </c>
      <c r="C238" s="9">
        <v>46276.0</v>
      </c>
    </row>
    <row r="239" ht="15.75" customHeight="1">
      <c r="A239" s="6">
        <v>763.0</v>
      </c>
      <c r="B239" s="6">
        <v>2382.0</v>
      </c>
      <c r="M239" s="3"/>
    </row>
    <row r="240" ht="15.75" customHeight="1">
      <c r="A240" s="10">
        <v>22.66</v>
      </c>
      <c r="B240" s="11">
        <v>69.5</v>
      </c>
    </row>
    <row r="241" ht="15.75" customHeight="1">
      <c r="A241" s="11">
        <v>22.57</v>
      </c>
      <c r="B241" s="11">
        <v>67.35</v>
      </c>
      <c r="C241">
        <v>600.0</v>
      </c>
      <c r="D241" t="s">
        <v>0</v>
      </c>
      <c r="V241" s="3"/>
    </row>
    <row r="242" ht="15.75" customHeight="1">
      <c r="A242" s="6" t="str">
        <f>(A241-A240)*C241</f>
        <v>-54</v>
      </c>
      <c r="B242" s="11" t="str">
        <f>C242*(B240-B241)</f>
        <v> $ 430.00 </v>
      </c>
      <c r="C242">
        <v>200.0</v>
      </c>
      <c r="D242" t="s">
        <v>16</v>
      </c>
      <c r="E242" s="11" t="str">
        <f>A242</f>
        <v>-$ 54.00 </v>
      </c>
      <c r="F242" s="11" t="str">
        <f>(B242+A242)</f>
        <v> $ 376.00 </v>
      </c>
      <c r="G242" t="str">
        <f>IF(F242&gt;0, "TRADE","H")</f>
        <v>TRADE</v>
      </c>
      <c r="V242" s="3"/>
    </row>
    <row r="243" ht="15.75" customHeight="1">
      <c r="A243" t="s">
        <v>14</v>
      </c>
      <c r="B243" t="s">
        <v>15</v>
      </c>
      <c r="C243" s="9">
        <v>46276.0</v>
      </c>
      <c r="H243" s="2"/>
      <c r="Z243" s="3"/>
    </row>
    <row r="244" ht="15.75" customHeight="1">
      <c r="A244" s="6">
        <v>9880.0</v>
      </c>
      <c r="B244" s="6" t="s">
        <v>17</v>
      </c>
      <c r="H244" s="2"/>
      <c r="Z244" s="3"/>
    </row>
    <row r="245" ht="15.75" customHeight="1">
      <c r="A245" s="10">
        <v>76.65</v>
      </c>
      <c r="B245" s="6">
        <v>88.65</v>
      </c>
      <c r="H245" s="2"/>
      <c r="Z245" s="3"/>
    </row>
    <row r="246" ht="15.75" customHeight="1">
      <c r="A246" s="11">
        <v>78.9</v>
      </c>
      <c r="B246" s="11">
        <v>88.85</v>
      </c>
      <c r="C246">
        <v>200.0</v>
      </c>
      <c r="D246" t="s">
        <v>0</v>
      </c>
      <c r="H246" s="2"/>
      <c r="Z246" s="3"/>
    </row>
    <row r="247" ht="15.75" customHeight="1">
      <c r="A247" s="6" t="str">
        <f>(A246-A245)*C247</f>
        <v>450</v>
      </c>
      <c r="B247" s="6" t="str">
        <f>(B245-B246)*C246</f>
        <v>-40</v>
      </c>
      <c r="C247">
        <v>200.0</v>
      </c>
      <c r="D247" t="s">
        <v>16</v>
      </c>
      <c r="E247" s="11" t="str">
        <f>A247</f>
        <v> $ 450.00 </v>
      </c>
      <c r="F247" s="6" t="str">
        <f>(B247+A247)</f>
        <v>410</v>
      </c>
      <c r="G247" t="str">
        <f>IF(F247&gt;0, "TRADE","H")</f>
        <v>TRADE</v>
      </c>
      <c r="H247" s="2"/>
      <c r="Z247" s="3"/>
    </row>
    <row r="248" ht="15.75" customHeight="1">
      <c r="A248" t="s">
        <v>14</v>
      </c>
      <c r="B248" t="s">
        <v>15</v>
      </c>
      <c r="C248" s="9">
        <v>46275.0</v>
      </c>
      <c r="J248" s="3"/>
    </row>
    <row r="249" ht="15.75" customHeight="1">
      <c r="A249" s="6" t="s">
        <v>17</v>
      </c>
      <c r="B249" s="6">
        <v>2382.0</v>
      </c>
    </row>
    <row r="250" ht="15.75" customHeight="1">
      <c r="A250" s="10">
        <v>89.4</v>
      </c>
      <c r="B250" s="6">
        <v>68.9</v>
      </c>
      <c r="U250" s="3"/>
    </row>
    <row r="251" ht="15.75" customHeight="1">
      <c r="A251" s="11">
        <v>89.75</v>
      </c>
      <c r="B251" s="11">
        <v>67.05</v>
      </c>
      <c r="C251">
        <v>200.0</v>
      </c>
      <c r="H251" s="2"/>
      <c r="Y251" s="3"/>
    </row>
    <row r="252" ht="15.75" customHeight="1">
      <c r="A252" s="6" t="str">
        <f>(A251-A250)*C252</f>
        <v>70</v>
      </c>
      <c r="B252" s="6" t="str">
        <f>(B250-B251)*C251</f>
        <v>370</v>
      </c>
      <c r="C252">
        <v>200.0</v>
      </c>
      <c r="E252" s="11" t="str">
        <f>A252</f>
        <v> $ 70.00 </v>
      </c>
      <c r="F252" s="6" t="str">
        <f>(B252+A252)</f>
        <v>440</v>
      </c>
      <c r="G252" t="str">
        <f>IF(F252&gt;0, "TRADE","H")</f>
        <v>TRADE</v>
      </c>
      <c r="H252" s="2"/>
      <c r="N252" s="3"/>
      <c r="Y252" s="3"/>
    </row>
    <row r="253" ht="15.75" customHeight="1">
      <c r="A253" s="1">
        <v>46280.0</v>
      </c>
      <c r="B253" s="1"/>
      <c r="D253" s="6"/>
      <c r="E253" s="6"/>
      <c r="F253" s="4"/>
      <c r="H253" s="2"/>
      <c r="Q253" s="3"/>
      <c r="R253" s="3"/>
      <c r="S253" s="3"/>
      <c r="U253" s="6"/>
      <c r="V253" s="6"/>
      <c r="W253" s="6"/>
      <c r="X253" s="6"/>
      <c r="Y253" s="6"/>
      <c r="Z253" s="3"/>
    </row>
    <row r="254" ht="15.75" customHeight="1">
      <c r="A254" t="s">
        <v>14</v>
      </c>
      <c r="B254" t="s">
        <v>15</v>
      </c>
      <c r="C254" s="9">
        <v>46274.0</v>
      </c>
    </row>
    <row r="255" ht="15.75" customHeight="1">
      <c r="A255" s="6">
        <v>1211.0</v>
      </c>
      <c r="B255" s="6">
        <v>6680.0</v>
      </c>
      <c r="M255" s="3"/>
    </row>
    <row r="256" ht="15.75" customHeight="1">
      <c r="A256" s="10">
        <v>82.1</v>
      </c>
      <c r="B256" s="11">
        <v>16.44</v>
      </c>
    </row>
    <row r="257" ht="15.75" customHeight="1">
      <c r="A257" s="11">
        <v>80.85</v>
      </c>
      <c r="B257" s="11">
        <v>15.56</v>
      </c>
      <c r="C257" s="12">
        <v>200.0</v>
      </c>
      <c r="D257" t="s">
        <v>0</v>
      </c>
      <c r="V257" s="3"/>
    </row>
    <row r="258" ht="15.75" customHeight="1">
      <c r="A258" s="6" t="str">
        <f>(A257-A256)*C257</f>
        <v>-250</v>
      </c>
      <c r="B258" s="11" t="str">
        <f>C258*(B256-B257)</f>
        <v> $ 704.00 </v>
      </c>
      <c r="C258" s="12">
        <v>800.0</v>
      </c>
      <c r="D258" t="s">
        <v>16</v>
      </c>
      <c r="E258" s="11" t="str">
        <f>A258</f>
        <v>-$ 250.00 </v>
      </c>
      <c r="F258" s="11" t="str">
        <f>(B258+A258)</f>
        <v> $ 454.00 </v>
      </c>
      <c r="G258" t="str">
        <f>IF(F258&gt;0, "TRADE","H")</f>
        <v>TRADE</v>
      </c>
      <c r="V258" s="3"/>
    </row>
    <row r="259" ht="15.75" customHeight="1">
      <c r="A259" t="s">
        <v>14</v>
      </c>
      <c r="B259" t="s">
        <v>15</v>
      </c>
      <c r="C259" s="9">
        <v>46279.0</v>
      </c>
      <c r="H259" s="2"/>
      <c r="Z259" s="3"/>
    </row>
    <row r="260" ht="15.75" customHeight="1">
      <c r="A260" s="6" t="s">
        <v>17</v>
      </c>
      <c r="B260" s="6">
        <v>9880.0</v>
      </c>
      <c r="H260" s="2"/>
      <c r="Z260" s="3"/>
    </row>
    <row r="261" ht="15.75" customHeight="1">
      <c r="A261" s="10">
        <v>88.85</v>
      </c>
      <c r="B261" s="6">
        <v>78.9</v>
      </c>
      <c r="H261" s="2"/>
      <c r="Z261" s="3"/>
    </row>
    <row r="262" ht="15.75" customHeight="1">
      <c r="A262" s="11">
        <v>90.15</v>
      </c>
      <c r="B262" s="11">
        <v>77.8</v>
      </c>
      <c r="C262">
        <v>200.0</v>
      </c>
      <c r="D262" t="s">
        <v>0</v>
      </c>
      <c r="H262" s="2"/>
      <c r="Z262" s="3"/>
    </row>
    <row r="263" ht="15.75" customHeight="1">
      <c r="A263" s="6" t="str">
        <f>(A262-A261)*C263</f>
        <v>260</v>
      </c>
      <c r="B263" s="6" t="str">
        <f>(B261-B262)*C262</f>
        <v>220</v>
      </c>
      <c r="C263">
        <v>200.0</v>
      </c>
      <c r="D263" t="s">
        <v>16</v>
      </c>
      <c r="E263" s="11" t="str">
        <f>A263</f>
        <v> $ 260.00 </v>
      </c>
      <c r="F263" s="6" t="str">
        <f>(B263+A263)</f>
        <v>480</v>
      </c>
      <c r="G263" t="str">
        <f>IF(F263&gt;0, "TRADE","H")</f>
        <v>TRADE</v>
      </c>
      <c r="H263" s="2"/>
      <c r="Z263" s="3"/>
    </row>
    <row r="264" ht="15.75" customHeight="1">
      <c r="A264" s="1">
        <v>46281.0</v>
      </c>
      <c r="B264" s="1"/>
      <c r="D264" s="6"/>
      <c r="E264" s="6"/>
      <c r="F264" s="4"/>
      <c r="H264" s="2"/>
      <c r="Q264" s="3"/>
      <c r="R264" s="3"/>
      <c r="S264" s="3"/>
      <c r="U264" s="6"/>
      <c r="V264" s="6"/>
      <c r="W264" s="6"/>
      <c r="X264" s="6"/>
      <c r="Y264" s="6"/>
      <c r="Z264" s="3"/>
    </row>
    <row r="265" ht="15.75" customHeight="1">
      <c r="A265" t="s">
        <v>14</v>
      </c>
      <c r="B265" t="s">
        <v>15</v>
      </c>
      <c r="C265" s="9">
        <v>46279.0</v>
      </c>
      <c r="H265" s="2"/>
      <c r="N265" s="3"/>
    </row>
    <row r="266" ht="15.75" customHeight="1">
      <c r="A266" s="6">
        <v>2382.0</v>
      </c>
      <c r="B266" s="6" t="s">
        <v>17</v>
      </c>
      <c r="H266" s="2"/>
    </row>
    <row r="267" ht="15.75" customHeight="1">
      <c r="A267" s="10">
        <v>67.05</v>
      </c>
      <c r="B267" s="6">
        <v>89.75</v>
      </c>
      <c r="H267" s="2"/>
      <c r="Y267" s="3"/>
    </row>
    <row r="268" ht="15.75" customHeight="1">
      <c r="A268" s="11">
        <v>67.8</v>
      </c>
      <c r="B268" s="11">
        <v>88.3</v>
      </c>
      <c r="C268">
        <v>200.0</v>
      </c>
      <c r="H268" s="2"/>
      <c r="Y268" s="3"/>
    </row>
    <row r="269" ht="15.75" customHeight="1">
      <c r="A269" s="6" t="str">
        <f>(A268-A267)*C269</f>
        <v>150</v>
      </c>
      <c r="B269" s="6" t="str">
        <f>(B267-B268)*C268</f>
        <v>290</v>
      </c>
      <c r="C269">
        <v>200.0</v>
      </c>
      <c r="E269" s="11" t="str">
        <f>A269</f>
        <v> $ 150.00 </v>
      </c>
      <c r="F269" s="6" t="str">
        <f>(B269+A269)</f>
        <v>440</v>
      </c>
      <c r="G269" t="str">
        <f>IF(F269&gt;0, "TRADE","H")</f>
        <v>TRADE</v>
      </c>
      <c r="H269" s="2"/>
      <c r="N269" s="3"/>
      <c r="Y269" s="3"/>
    </row>
    <row r="270" ht="15.75" customHeight="1">
      <c r="A270" t="s">
        <v>14</v>
      </c>
      <c r="B270" t="s">
        <v>15</v>
      </c>
      <c r="C270" s="9">
        <v>46280.0</v>
      </c>
    </row>
    <row r="271" ht="15.75" customHeight="1">
      <c r="A271" s="6">
        <v>6680.0</v>
      </c>
      <c r="B271" s="6">
        <v>1211.0</v>
      </c>
      <c r="M271" s="3"/>
    </row>
    <row r="272" ht="15.75" customHeight="1">
      <c r="A272" s="10">
        <v>15.56</v>
      </c>
      <c r="B272" s="11">
        <v>80.85</v>
      </c>
    </row>
    <row r="273" ht="15.75" customHeight="1">
      <c r="A273" s="11">
        <v>15.61</v>
      </c>
      <c r="B273" s="11">
        <v>79.55</v>
      </c>
      <c r="C273" s="12">
        <v>800.0</v>
      </c>
      <c r="D273" t="s">
        <v>0</v>
      </c>
      <c r="V273" s="3"/>
    </row>
    <row r="274" ht="15.75" customHeight="1">
      <c r="A274" s="6" t="str">
        <f>(A273-A272)*C273</f>
        <v>40</v>
      </c>
      <c r="B274" s="11" t="str">
        <f>C274*(B272-B273)</f>
        <v> $ 260.00 </v>
      </c>
      <c r="C274" s="12">
        <v>200.0</v>
      </c>
      <c r="D274" t="s">
        <v>16</v>
      </c>
      <c r="E274" s="11" t="str">
        <f>A274</f>
        <v> $ 40.00 </v>
      </c>
      <c r="F274" s="11" t="str">
        <f>(B274+A274)</f>
        <v> $ 300.00 </v>
      </c>
      <c r="G274" t="str">
        <f>IF(F274&gt;0, "TRADE","H")</f>
        <v>TRADE</v>
      </c>
      <c r="V274" s="3"/>
    </row>
    <row r="275" ht="15.75" customHeight="1">
      <c r="A275" t="s">
        <v>14</v>
      </c>
      <c r="B275" t="s">
        <v>15</v>
      </c>
      <c r="C275" s="9">
        <v>46280.0</v>
      </c>
      <c r="H275" s="2"/>
      <c r="Z275" s="3"/>
    </row>
    <row r="276" ht="15.75" customHeight="1">
      <c r="A276" s="6">
        <v>9880.0</v>
      </c>
      <c r="B276" s="6" t="s">
        <v>17</v>
      </c>
      <c r="H276" s="2"/>
      <c r="Z276" s="3"/>
    </row>
    <row r="277" ht="15.75" customHeight="1">
      <c r="A277" s="10">
        <v>77.8</v>
      </c>
      <c r="B277" s="6">
        <v>90.15</v>
      </c>
      <c r="H277" s="2"/>
      <c r="Z277" s="3"/>
    </row>
    <row r="278" ht="15.75" customHeight="1">
      <c r="A278" s="11">
        <v>77.7</v>
      </c>
      <c r="B278" s="11">
        <v>88.3</v>
      </c>
      <c r="C278">
        <v>200.0</v>
      </c>
      <c r="D278" t="s">
        <v>0</v>
      </c>
      <c r="H278" s="2"/>
      <c r="Z278" s="3"/>
    </row>
    <row r="279" ht="15.75" customHeight="1">
      <c r="A279" s="6" t="str">
        <f>(A278-A277)*C279</f>
        <v>-20</v>
      </c>
      <c r="B279" s="6" t="str">
        <f>(B277-B278)*C278</f>
        <v>370</v>
      </c>
      <c r="C279">
        <v>200.0</v>
      </c>
      <c r="D279" t="s">
        <v>16</v>
      </c>
      <c r="E279" s="11" t="str">
        <f>A279</f>
        <v>-$ 20.00 </v>
      </c>
      <c r="F279" s="6" t="str">
        <f>(B279+A279)</f>
        <v>350</v>
      </c>
      <c r="G279" t="str">
        <f>IF(F279&gt;0, "TRADE","H")</f>
        <v>TRADE</v>
      </c>
      <c r="H279" s="2"/>
      <c r="Z279" s="3"/>
    </row>
    <row r="280" ht="15.75" customHeight="1">
      <c r="A280" s="1">
        <v>46282.0</v>
      </c>
      <c r="B280" s="1"/>
      <c r="D280" s="6"/>
      <c r="E280" s="6"/>
      <c r="F280" s="4"/>
      <c r="H280" s="2"/>
      <c r="Q280" s="3"/>
      <c r="R280" s="3"/>
      <c r="S280" s="3"/>
      <c r="U280" s="6"/>
      <c r="V280" s="6"/>
      <c r="W280" s="6"/>
      <c r="X280" s="6"/>
      <c r="Y280" s="6"/>
      <c r="Z280" s="3"/>
    </row>
    <row r="281" ht="15.75" customHeight="1">
      <c r="A281" t="s">
        <v>14</v>
      </c>
      <c r="B281" t="s">
        <v>15</v>
      </c>
      <c r="C281" s="9">
        <v>46276.0</v>
      </c>
      <c r="H281" s="2"/>
      <c r="Z281" s="3"/>
    </row>
    <row r="282" ht="15.75" customHeight="1">
      <c r="A282" s="6">
        <v>9880.0</v>
      </c>
      <c r="B282" s="6" t="s">
        <v>17</v>
      </c>
      <c r="H282" s="2"/>
      <c r="Z282" s="3"/>
    </row>
    <row r="283" ht="15.75" customHeight="1">
      <c r="A283" s="10">
        <v>77.95</v>
      </c>
      <c r="B283" s="6">
        <v>88.4</v>
      </c>
      <c r="H283" s="2"/>
      <c r="Z283" s="3"/>
    </row>
    <row r="284" ht="15.75" customHeight="1">
      <c r="A284" s="11">
        <v>77.5</v>
      </c>
      <c r="B284" s="11">
        <v>86.35</v>
      </c>
      <c r="C284">
        <v>200.0</v>
      </c>
      <c r="D284" t="s">
        <v>0</v>
      </c>
      <c r="H284" s="2"/>
      <c r="Z284" s="3"/>
    </row>
    <row r="285" ht="15.75" customHeight="1">
      <c r="A285" s="6" t="str">
        <f>(A284-A283)*C285</f>
        <v>-90</v>
      </c>
      <c r="B285" s="6" t="str">
        <f>(B283-B284)*C284</f>
        <v>410</v>
      </c>
      <c r="C285">
        <v>200.0</v>
      </c>
      <c r="D285" t="s">
        <v>16</v>
      </c>
      <c r="E285" s="11" t="str">
        <f>A285</f>
        <v>-$ 90.00 </v>
      </c>
      <c r="F285" s="6" t="str">
        <f>(B285+A285)</f>
        <v>320</v>
      </c>
      <c r="G285" t="str">
        <f>IF(F285&gt;0, "TRADE","H")</f>
        <v>TRADE</v>
      </c>
      <c r="H285" s="2"/>
      <c r="Z285" s="3"/>
    </row>
    <row r="286" ht="15.75" customHeight="1">
      <c r="A286" t="s">
        <v>14</v>
      </c>
      <c r="B286" t="s">
        <v>15</v>
      </c>
      <c r="C286" s="9">
        <v>46276.0</v>
      </c>
    </row>
    <row r="287" ht="15.75" customHeight="1">
      <c r="A287" s="6">
        <v>6680.0</v>
      </c>
      <c r="B287" s="6">
        <v>1211.0</v>
      </c>
      <c r="M287" s="3"/>
    </row>
    <row r="288" ht="15.75" customHeight="1">
      <c r="A288" s="10">
        <v>15.57</v>
      </c>
      <c r="B288" s="11">
        <v>79.25</v>
      </c>
    </row>
    <row r="289" ht="15.75" customHeight="1">
      <c r="A289" s="11">
        <v>15.61</v>
      </c>
      <c r="B289" s="11">
        <v>78.0</v>
      </c>
      <c r="C289" s="12">
        <v>800.0</v>
      </c>
      <c r="D289" t="s">
        <v>0</v>
      </c>
      <c r="V289" s="3"/>
    </row>
    <row r="290" ht="15.75" customHeight="1">
      <c r="A290" s="6" t="str">
        <f>(A289-A288)*C289</f>
        <v>32</v>
      </c>
      <c r="B290" s="11" t="str">
        <f>C290*(B288-B289)</f>
        <v> $ 250.00 </v>
      </c>
      <c r="C290" s="12">
        <v>200.0</v>
      </c>
      <c r="D290" t="s">
        <v>16</v>
      </c>
      <c r="E290" s="11" t="str">
        <f>A290</f>
        <v> $ 32.00 </v>
      </c>
      <c r="F290" s="11" t="str">
        <f>(B290+A290)</f>
        <v> $ 282.00 </v>
      </c>
      <c r="G290" t="str">
        <f>IF(F290&gt;0, "TRADE","H")</f>
        <v>TRADE</v>
      </c>
      <c r="V290" s="3"/>
    </row>
    <row r="291" ht="15.75" customHeight="1">
      <c r="A291" t="s">
        <v>14</v>
      </c>
      <c r="B291" t="s">
        <v>15</v>
      </c>
      <c r="C291" s="9">
        <v>46279.0</v>
      </c>
    </row>
    <row r="292" ht="15.75" customHeight="1">
      <c r="A292" s="6">
        <v>2382.0</v>
      </c>
      <c r="B292" s="6">
        <v>763.0</v>
      </c>
      <c r="I292" s="12"/>
      <c r="M292" s="3"/>
    </row>
    <row r="293" ht="15.75" customHeight="1">
      <c r="A293" s="10">
        <v>67.35</v>
      </c>
      <c r="B293" s="11">
        <v>22.57</v>
      </c>
    </row>
    <row r="294" ht="15.75" customHeight="1">
      <c r="A294" s="11">
        <v>67.5</v>
      </c>
      <c r="B294" s="11">
        <v>22.18</v>
      </c>
      <c r="C294">
        <v>200.0</v>
      </c>
      <c r="D294" t="s">
        <v>0</v>
      </c>
      <c r="V294" s="3"/>
    </row>
    <row r="295" ht="15.75" customHeight="1">
      <c r="A295" s="6" t="str">
        <f>(A294-A293)*C294</f>
        <v>30</v>
      </c>
      <c r="B295" s="11" t="str">
        <f>C295*(B293-B294)</f>
        <v> $ 234.00 </v>
      </c>
      <c r="C295">
        <v>600.0</v>
      </c>
      <c r="D295" t="s">
        <v>16</v>
      </c>
      <c r="E295" s="11" t="str">
        <f>A295</f>
        <v> $ 30.00 </v>
      </c>
      <c r="F295" s="11" t="str">
        <f>(B295+A295)</f>
        <v> $ 264.00 </v>
      </c>
      <c r="G295" t="str">
        <f>IF(F295&gt;0, "TRADE","H")</f>
        <v>TRADE</v>
      </c>
      <c r="V295" s="3"/>
    </row>
    <row r="296" ht="15.75" customHeight="1">
      <c r="A296" t="s">
        <v>14</v>
      </c>
      <c r="B296" t="s">
        <v>15</v>
      </c>
      <c r="C296" s="9">
        <v>46269.0</v>
      </c>
      <c r="K296" s="3"/>
    </row>
    <row r="297" ht="15.75" customHeight="1">
      <c r="A297" s="6">
        <v>2522.0</v>
      </c>
      <c r="B297" s="6">
        <v>2587.0</v>
      </c>
      <c r="I297" s="3"/>
    </row>
    <row r="298" ht="15.75" customHeight="1">
      <c r="A298" s="10">
        <v>5.16</v>
      </c>
      <c r="B298" s="6">
        <v>1.62</v>
      </c>
      <c r="M298" s="3"/>
    </row>
    <row r="299" ht="15.75" customHeight="1">
      <c r="A299" s="11">
        <v>5.16</v>
      </c>
      <c r="B299" s="11">
        <v>0.855</v>
      </c>
      <c r="C299" s="12">
        <v>500.0</v>
      </c>
      <c r="H299" s="2"/>
      <c r="Y299" s="3"/>
    </row>
    <row r="300" ht="15.75" customHeight="1">
      <c r="A300" s="6" t="str">
        <f>(A299-A298)*C300</f>
        <v>0</v>
      </c>
      <c r="B300" s="11" t="str">
        <f>C299*(B298-B299)</f>
        <v> $ 382.50 </v>
      </c>
      <c r="C300" s="12">
        <v>500.0</v>
      </c>
      <c r="E300" s="11" t="str">
        <f>A300</f>
        <v> $ -   </v>
      </c>
      <c r="F300" s="11" t="str">
        <f>(B300+A300)</f>
        <v> $ 382.50 </v>
      </c>
      <c r="G300" t="str">
        <f>IF(F300&gt;0, "TRADE","H")</f>
        <v>TRADE</v>
      </c>
      <c r="H300" s="2"/>
      <c r="Y300" s="3"/>
    </row>
    <row r="301" ht="15.75" customHeight="1">
      <c r="A301" t="s">
        <v>14</v>
      </c>
      <c r="B301" t="s">
        <v>15</v>
      </c>
      <c r="C301" s="9">
        <v>46282.0</v>
      </c>
    </row>
    <row r="302" ht="15.75" customHeight="1">
      <c r="A302" s="6">
        <v>1211.0</v>
      </c>
      <c r="B302" s="6">
        <v>6680.0</v>
      </c>
      <c r="M302" s="3"/>
    </row>
    <row r="303" ht="15.75" customHeight="1">
      <c r="A303" s="10">
        <v>78.0</v>
      </c>
      <c r="B303" s="11">
        <v>15.61</v>
      </c>
    </row>
    <row r="304" ht="15.75" customHeight="1">
      <c r="A304" s="11">
        <v>78.8</v>
      </c>
      <c r="B304" s="11">
        <v>15.4</v>
      </c>
      <c r="C304" s="12">
        <v>200.0</v>
      </c>
      <c r="D304" t="s">
        <v>0</v>
      </c>
      <c r="V304" s="3"/>
    </row>
    <row r="305" ht="15.75" customHeight="1">
      <c r="A305" s="6" t="str">
        <f>(A304-A303)*C304</f>
        <v>160</v>
      </c>
      <c r="B305" s="11" t="str">
        <f>C305*(B303-B304)</f>
        <v> $ 168.00 </v>
      </c>
      <c r="C305" s="12">
        <v>800.0</v>
      </c>
      <c r="D305" t="s">
        <v>16</v>
      </c>
      <c r="E305" s="11" t="str">
        <f>A305</f>
        <v> $ 160.00 </v>
      </c>
      <c r="F305" s="11" t="str">
        <f>(B305+A305)</f>
        <v> $ 328.00 </v>
      </c>
      <c r="G305" t="str">
        <f>IF(F305&gt;0, "TRADE","H")</f>
        <v>TRADE</v>
      </c>
      <c r="V305" s="3"/>
    </row>
    <row r="306" ht="15.75" customHeight="1">
      <c r="A306" t="s">
        <v>14</v>
      </c>
      <c r="B306" t="s">
        <v>15</v>
      </c>
      <c r="C306" s="9">
        <v>46281.0</v>
      </c>
    </row>
    <row r="307" ht="15.75" customHeight="1">
      <c r="A307" s="6">
        <v>1211.0</v>
      </c>
      <c r="B307" s="6">
        <v>6680.0</v>
      </c>
      <c r="M307" s="3"/>
    </row>
    <row r="308" ht="15.75" customHeight="1">
      <c r="A308" s="10">
        <v>79.55</v>
      </c>
      <c r="B308" s="11">
        <v>15.61</v>
      </c>
    </row>
    <row r="309" ht="15.75" customHeight="1">
      <c r="A309" s="11">
        <v>80.3</v>
      </c>
      <c r="B309" s="11">
        <v>15.45</v>
      </c>
      <c r="C309" s="12">
        <v>200.0</v>
      </c>
      <c r="D309" t="s">
        <v>0</v>
      </c>
      <c r="V309" s="3"/>
    </row>
    <row r="310" ht="15.75" customHeight="1">
      <c r="A310" s="6" t="str">
        <f>(A309-A308)*C309</f>
        <v>150</v>
      </c>
      <c r="B310" s="11" t="str">
        <f>C310*(B308-B309)</f>
        <v> $ 128.00 </v>
      </c>
      <c r="C310" s="12">
        <v>800.0</v>
      </c>
      <c r="D310" t="s">
        <v>16</v>
      </c>
      <c r="E310" s="11" t="str">
        <f>A310</f>
        <v> $ 150.00 </v>
      </c>
      <c r="F310" s="11" t="str">
        <f>(B310+A310)</f>
        <v> $ 278.00 </v>
      </c>
      <c r="G310" t="str">
        <f>IF(F310&gt;0, "TRADE","H")</f>
        <v>TRADE</v>
      </c>
      <c r="V310" s="3"/>
    </row>
    <row r="311" ht="15.75" customHeight="1">
      <c r="A311" s="1">
        <v>46283.0</v>
      </c>
      <c r="B311" s="1"/>
      <c r="D311" s="6"/>
      <c r="E311" s="6"/>
      <c r="F311" s="4"/>
      <c r="H311" s="2"/>
      <c r="Q311" s="3"/>
      <c r="R311" s="3"/>
      <c r="S311" s="3"/>
      <c r="U311" s="6"/>
      <c r="V311" s="6"/>
      <c r="W311" s="6"/>
      <c r="X311" s="6"/>
      <c r="Y311" s="6"/>
      <c r="Z311" s="3"/>
    </row>
    <row r="312" ht="15.75" customHeight="1">
      <c r="A312" t="s">
        <v>14</v>
      </c>
      <c r="B312" t="s">
        <v>15</v>
      </c>
      <c r="C312" s="9">
        <v>46282.0</v>
      </c>
    </row>
    <row r="313" ht="15.75" customHeight="1">
      <c r="A313" s="6">
        <v>763.0</v>
      </c>
      <c r="B313" s="6">
        <v>2382.0</v>
      </c>
      <c r="M313" s="3"/>
    </row>
    <row r="314" ht="15.75" customHeight="1">
      <c r="A314" s="10">
        <v>22.18</v>
      </c>
      <c r="B314" s="11">
        <v>67.5</v>
      </c>
    </row>
    <row r="315" ht="15.75" customHeight="1">
      <c r="A315" s="11">
        <v>22.78</v>
      </c>
      <c r="B315" s="11">
        <v>67.65</v>
      </c>
      <c r="C315">
        <v>600.0</v>
      </c>
      <c r="D315" t="s">
        <v>0</v>
      </c>
      <c r="V315" s="3"/>
    </row>
    <row r="316" ht="15.75" customHeight="1">
      <c r="A316" s="6" t="str">
        <f>(A315-A314)*C315</f>
        <v>360</v>
      </c>
      <c r="B316" s="11" t="str">
        <f>C316*(B314-B315)</f>
        <v>-$ 30.00 </v>
      </c>
      <c r="C316">
        <v>200.0</v>
      </c>
      <c r="D316" t="s">
        <v>16</v>
      </c>
      <c r="E316" s="11" t="str">
        <f>A316</f>
        <v> $ 360.00 </v>
      </c>
      <c r="F316" s="11" t="str">
        <f>(B316+A316)</f>
        <v> $ 330.00 </v>
      </c>
      <c r="G316" t="str">
        <f>IF(F316&gt;0, "TRADE","H")</f>
        <v>TRADE</v>
      </c>
      <c r="V316" s="3"/>
    </row>
    <row r="317" ht="15.75" customHeight="1">
      <c r="A317" t="s">
        <v>14</v>
      </c>
      <c r="B317" t="s">
        <v>15</v>
      </c>
      <c r="C317" s="9">
        <v>46275.0</v>
      </c>
    </row>
    <row r="318" ht="15.75" customHeight="1">
      <c r="A318" s="6">
        <v>763.0</v>
      </c>
      <c r="B318" s="6">
        <v>2382.0</v>
      </c>
      <c r="M318" s="3"/>
    </row>
    <row r="319" ht="15.75" customHeight="1">
      <c r="A319" s="10">
        <v>23.16</v>
      </c>
      <c r="B319" s="11">
        <v>69.2</v>
      </c>
    </row>
    <row r="320" ht="15.75" customHeight="1">
      <c r="A320" s="11">
        <v>22.92</v>
      </c>
      <c r="B320" s="11">
        <v>67.1</v>
      </c>
      <c r="C320">
        <v>600.0</v>
      </c>
      <c r="D320" t="s">
        <v>0</v>
      </c>
      <c r="V320" s="3"/>
    </row>
    <row r="321" ht="15.75" customHeight="1">
      <c r="A321" s="6" t="str">
        <f>(A320-A319)*C320</f>
        <v>-144</v>
      </c>
      <c r="B321" s="11" t="str">
        <f>C321*(B319-B320)</f>
        <v> $ 420.00 </v>
      </c>
      <c r="C321">
        <v>200.0</v>
      </c>
      <c r="D321" t="s">
        <v>16</v>
      </c>
      <c r="E321" s="11" t="str">
        <f>A321</f>
        <v>-$ 144.00 </v>
      </c>
      <c r="F321" s="11" t="str">
        <f>(B321+A321)</f>
        <v> $ 276.00 </v>
      </c>
      <c r="G321" t="str">
        <f>IF(F321&gt;0, "TRADE","H")</f>
        <v>TRADE</v>
      </c>
      <c r="V321" s="3"/>
    </row>
    <row r="322" ht="15.75" customHeight="1">
      <c r="A322" t="s">
        <v>14</v>
      </c>
      <c r="B322" t="s">
        <v>15</v>
      </c>
      <c r="C322" s="9">
        <v>46281.0</v>
      </c>
      <c r="J322" s="3"/>
    </row>
    <row r="323" ht="15.75" customHeight="1">
      <c r="A323" s="6" t="s">
        <v>17</v>
      </c>
      <c r="B323" s="6">
        <v>2382.0</v>
      </c>
    </row>
    <row r="324" ht="15.75" customHeight="1">
      <c r="A324" s="10">
        <v>88.3</v>
      </c>
      <c r="B324" s="6">
        <v>67.8</v>
      </c>
      <c r="U324" s="3"/>
    </row>
    <row r="325" ht="15.75" customHeight="1">
      <c r="A325" s="11">
        <v>89.5</v>
      </c>
      <c r="B325" s="11">
        <v>67.0</v>
      </c>
      <c r="C325">
        <v>200.0</v>
      </c>
      <c r="H325" s="2"/>
      <c r="Y325" s="3"/>
    </row>
    <row r="326" ht="15.75" customHeight="1">
      <c r="A326" s="6" t="str">
        <f>(A325-A324)*C326</f>
        <v>240</v>
      </c>
      <c r="B326" s="6" t="str">
        <f>(B324-B325)*C325</f>
        <v>160</v>
      </c>
      <c r="C326">
        <v>200.0</v>
      </c>
      <c r="E326" s="11" t="str">
        <f>A326</f>
        <v> $ 240.00 </v>
      </c>
      <c r="F326" s="6" t="str">
        <f>(B326+A326)</f>
        <v>400</v>
      </c>
      <c r="G326" t="str">
        <f>IF(F326&gt;0, "TRADE","H")</f>
        <v>TRADE</v>
      </c>
      <c r="H326" s="2"/>
      <c r="N326" s="3"/>
      <c r="Y326" s="3"/>
    </row>
    <row r="327" ht="15.75" customHeight="1">
      <c r="A327" s="1">
        <v>46286.0</v>
      </c>
      <c r="B327" s="1"/>
      <c r="D327" s="6"/>
      <c r="E327" s="6"/>
      <c r="F327" s="4"/>
      <c r="H327" s="2"/>
      <c r="Q327" s="3"/>
      <c r="R327" s="3"/>
      <c r="S327" s="3"/>
      <c r="U327" s="6"/>
      <c r="V327" s="6"/>
      <c r="W327" s="6"/>
      <c r="X327" s="6"/>
      <c r="Y327" s="6"/>
      <c r="Z327" s="3"/>
    </row>
    <row r="328" ht="15.75" customHeight="1">
      <c r="A328" t="s">
        <v>14</v>
      </c>
      <c r="B328" t="s">
        <v>15</v>
      </c>
      <c r="C328" s="9">
        <v>46274.0</v>
      </c>
    </row>
    <row r="329" ht="15.75" customHeight="1">
      <c r="A329" s="6">
        <v>763.0</v>
      </c>
      <c r="B329" s="6">
        <v>2382.0</v>
      </c>
      <c r="M329" s="3"/>
    </row>
    <row r="330" ht="15.75" customHeight="1">
      <c r="A330" s="10">
        <v>23.3</v>
      </c>
      <c r="B330" s="11">
        <v>68.4</v>
      </c>
    </row>
    <row r="331" ht="15.75" customHeight="1">
      <c r="A331" s="11">
        <v>23.6</v>
      </c>
      <c r="B331" s="11">
        <v>67.55</v>
      </c>
      <c r="C331">
        <v>600.0</v>
      </c>
      <c r="D331" t="s">
        <v>0</v>
      </c>
      <c r="V331" s="3"/>
    </row>
    <row r="332" ht="15.75" customHeight="1">
      <c r="A332" s="6" t="str">
        <f>(A331-A330)*C331</f>
        <v>180</v>
      </c>
      <c r="B332" s="11" t="str">
        <f>C332*(B330-B331)</f>
        <v> $ 170.00 </v>
      </c>
      <c r="C332">
        <v>200.0</v>
      </c>
      <c r="D332" t="s">
        <v>16</v>
      </c>
      <c r="E332" s="11" t="str">
        <f>A332</f>
        <v> $ 180.00 </v>
      </c>
      <c r="F332" s="11" t="str">
        <f>(B332+A332)</f>
        <v> $ 350.00 </v>
      </c>
      <c r="G332" t="str">
        <f>IF(F332&gt;0, "TRADE","H")</f>
        <v>TRADE</v>
      </c>
      <c r="V332" s="3"/>
    </row>
    <row r="333" ht="15.75" customHeight="1">
      <c r="A333" t="s">
        <v>14</v>
      </c>
      <c r="B333" t="s">
        <v>15</v>
      </c>
      <c r="C333" s="9">
        <v>46154.0</v>
      </c>
      <c r="K333" s="3"/>
    </row>
    <row r="334" ht="15.75" customHeight="1">
      <c r="A334" s="6">
        <v>2522.0</v>
      </c>
      <c r="B334" s="6">
        <v>2587.0</v>
      </c>
      <c r="I334" s="3"/>
    </row>
    <row r="335" ht="15.75" customHeight="1">
      <c r="A335" s="10">
        <v>8.08</v>
      </c>
      <c r="B335" s="6">
        <v>4.13</v>
      </c>
      <c r="M335" s="3"/>
    </row>
    <row r="336" ht="15.75" customHeight="1">
      <c r="A336" s="11">
        <v>5.58</v>
      </c>
      <c r="B336" s="11">
        <v>0.83</v>
      </c>
      <c r="C336" s="12">
        <v>500.0</v>
      </c>
      <c r="H336" s="2"/>
      <c r="Y336" s="3"/>
    </row>
    <row r="337" ht="15.75" customHeight="1">
      <c r="A337" s="6" t="str">
        <f>(A336-A335)*C337</f>
        <v>-1250</v>
      </c>
      <c r="B337" s="11" t="str">
        <f>C336*(B335-B336)</f>
        <v> $ 1,650.00 </v>
      </c>
      <c r="C337" s="12">
        <v>500.0</v>
      </c>
      <c r="E337" s="11" t="str">
        <f>A337</f>
        <v>-$ 1,250.00 </v>
      </c>
      <c r="F337" s="11" t="str">
        <f>(B337+A337)</f>
        <v> $ 400.00 </v>
      </c>
      <c r="G337" t="str">
        <f>IF(F337&gt;0, "TRADE","H")</f>
        <v>TRADE</v>
      </c>
      <c r="H337" s="2"/>
      <c r="Y337" s="3"/>
    </row>
    <row r="338" ht="15.75" customHeight="1">
      <c r="A338" t="s">
        <v>14</v>
      </c>
      <c r="B338" t="s">
        <v>15</v>
      </c>
      <c r="C338" s="9">
        <v>46084.0</v>
      </c>
    </row>
    <row r="339" ht="15.75" customHeight="1">
      <c r="A339" s="6">
        <v>3800.0</v>
      </c>
      <c r="B339" s="6">
        <v>968.0</v>
      </c>
    </row>
    <row r="340" ht="15.75" customHeight="1">
      <c r="A340" s="10">
        <v>1.1</v>
      </c>
      <c r="B340" s="11" t="str">
        <f>-0.0023-0.008+3.12</f>
        <v> $ 3.11 </v>
      </c>
    </row>
    <row r="341" ht="15.75" customHeight="1">
      <c r="A341" s="11">
        <v>0.755</v>
      </c>
      <c r="B341" s="11">
        <v>2.03</v>
      </c>
      <c r="C341">
        <v>4000.0</v>
      </c>
      <c r="D341" t="s">
        <v>0</v>
      </c>
      <c r="V341" s="3"/>
    </row>
    <row r="342" ht="15.75" customHeight="1">
      <c r="A342" s="6" t="str">
        <f>(A341-A340)*C342</f>
        <v>-4140</v>
      </c>
      <c r="B342" s="11" t="str">
        <f>C341*(B340-B341)</f>
        <v> $ 4,318.80 </v>
      </c>
      <c r="C342">
        <v>12000.0</v>
      </c>
      <c r="D342" t="s">
        <v>16</v>
      </c>
      <c r="E342" s="11" t="str">
        <f>A342</f>
        <v>-$ 4,140.00 </v>
      </c>
      <c r="F342" s="11" t="str">
        <f>(B342+A342)</f>
        <v> $ 178.80 </v>
      </c>
      <c r="G342" t="str">
        <f>IF(F342&gt;0, "TRADE","H")</f>
        <v>TRADE</v>
      </c>
      <c r="V342" s="3"/>
    </row>
    <row r="343" ht="15.75" customHeight="1">
      <c r="A343" t="s">
        <v>14</v>
      </c>
      <c r="B343" t="s">
        <v>15</v>
      </c>
      <c r="C343" s="9">
        <v>46282.0</v>
      </c>
    </row>
    <row r="344" ht="15.75" customHeight="1">
      <c r="A344" s="6">
        <v>6680.0</v>
      </c>
      <c r="B344" s="6">
        <v>1211.0</v>
      </c>
      <c r="M344" s="3"/>
    </row>
    <row r="345" ht="15.75" customHeight="1">
      <c r="A345" s="10">
        <v>15.45</v>
      </c>
      <c r="B345" s="11">
        <v>80.3</v>
      </c>
    </row>
    <row r="346" ht="15.75" customHeight="1">
      <c r="A346" s="11">
        <v>15.96</v>
      </c>
      <c r="B346" s="11">
        <v>81.2</v>
      </c>
      <c r="C346" s="12">
        <v>800.0</v>
      </c>
      <c r="D346" t="s">
        <v>0</v>
      </c>
      <c r="V346" s="3"/>
    </row>
    <row r="347" ht="15.75" customHeight="1">
      <c r="A347" s="6" t="str">
        <f>(A346-A345)*C346</f>
        <v>408</v>
      </c>
      <c r="B347" s="11" t="str">
        <f>C347*(B345-B346)</f>
        <v>-$ 180.00 </v>
      </c>
      <c r="C347" s="12">
        <v>200.0</v>
      </c>
      <c r="D347" t="s">
        <v>16</v>
      </c>
      <c r="E347" s="11" t="str">
        <f>A347</f>
        <v> $ 408.00 </v>
      </c>
      <c r="F347" s="11" t="str">
        <f>(B347+A347)</f>
        <v> $ 228.00 </v>
      </c>
      <c r="G347" t="str">
        <f>IF(F347&gt;0, "TRADE","H")</f>
        <v>TRADE</v>
      </c>
      <c r="V347" s="3"/>
    </row>
    <row r="348" ht="15.75" customHeight="1">
      <c r="A348" s="1">
        <v>46287.0</v>
      </c>
      <c r="B348" s="1"/>
      <c r="D348" s="6"/>
      <c r="E348" s="6"/>
      <c r="F348" s="4"/>
      <c r="H348" s="2"/>
      <c r="Q348" s="3"/>
      <c r="R348" s="3"/>
      <c r="S348" s="3"/>
      <c r="U348" s="6"/>
      <c r="V348" s="6"/>
      <c r="W348" s="6"/>
      <c r="X348" s="6"/>
      <c r="Y348" s="6"/>
      <c r="Z348" s="3"/>
    </row>
    <row r="349" ht="15.75" customHeight="1">
      <c r="A349" t="s">
        <v>14</v>
      </c>
      <c r="B349" t="s">
        <v>15</v>
      </c>
      <c r="C349" s="9">
        <v>46282.0</v>
      </c>
    </row>
    <row r="350" ht="15.75" customHeight="1">
      <c r="A350" s="6">
        <v>6680.0</v>
      </c>
      <c r="B350" s="6">
        <v>1211.0</v>
      </c>
      <c r="M350" s="3"/>
    </row>
    <row r="351" ht="15.75" customHeight="1">
      <c r="A351" s="10">
        <v>15.4</v>
      </c>
      <c r="B351" s="11">
        <v>78.8</v>
      </c>
    </row>
    <row r="352" ht="15.75" customHeight="1">
      <c r="A352" s="11">
        <v>16.31</v>
      </c>
      <c r="B352" s="11">
        <v>80.65</v>
      </c>
      <c r="C352" s="12">
        <v>800.0</v>
      </c>
      <c r="D352" t="s">
        <v>0</v>
      </c>
      <c r="V352" s="3"/>
    </row>
    <row r="353" ht="15.75" customHeight="1">
      <c r="A353" s="6" t="str">
        <f>(A352-A351)*C352</f>
        <v>728</v>
      </c>
      <c r="B353" s="11" t="str">
        <f>C353*(B351-B352)</f>
        <v>-$ 370.00 </v>
      </c>
      <c r="C353" s="12">
        <v>200.0</v>
      </c>
      <c r="D353" t="s">
        <v>16</v>
      </c>
      <c r="E353" s="11" t="str">
        <f>A353</f>
        <v> $ 728.00 </v>
      </c>
      <c r="F353" s="11" t="str">
        <f>(B353+A353)</f>
        <v> $ 358.00 </v>
      </c>
      <c r="G353" t="str">
        <f>IF(F353&gt;0, "TRADE","H")</f>
        <v>TRADE</v>
      </c>
      <c r="V353" s="3"/>
    </row>
    <row r="354" ht="15.75" customHeight="1">
      <c r="A354" t="s">
        <v>14</v>
      </c>
      <c r="B354" t="s">
        <v>15</v>
      </c>
      <c r="C354" s="9">
        <v>46282.0</v>
      </c>
      <c r="H354" s="2"/>
      <c r="Z354" s="3"/>
    </row>
    <row r="355" ht="15.75" customHeight="1">
      <c r="A355" s="6" t="s">
        <v>17</v>
      </c>
      <c r="B355" s="6">
        <v>9880.0</v>
      </c>
      <c r="H355" s="2"/>
      <c r="Z355" s="3"/>
    </row>
    <row r="356" ht="15.75" customHeight="1">
      <c r="A356" s="10">
        <v>86.35</v>
      </c>
      <c r="B356" s="6">
        <v>77.5</v>
      </c>
      <c r="H356" s="2"/>
      <c r="Z356" s="3"/>
    </row>
    <row r="357" ht="15.75" customHeight="1">
      <c r="A357" s="11">
        <v>91.4</v>
      </c>
      <c r="B357" s="11">
        <v>80.65</v>
      </c>
      <c r="C357">
        <v>200.0</v>
      </c>
      <c r="D357" t="s">
        <v>0</v>
      </c>
      <c r="H357" s="2"/>
      <c r="Z357" s="3"/>
    </row>
    <row r="358" ht="15.75" customHeight="1">
      <c r="A358" s="6" t="str">
        <f>(A357-A356)*C358</f>
        <v>1010</v>
      </c>
      <c r="B358" s="6" t="str">
        <f>(B356-B357)*C357</f>
        <v>-630</v>
      </c>
      <c r="C358">
        <v>200.0</v>
      </c>
      <c r="D358" t="s">
        <v>16</v>
      </c>
      <c r="E358" s="11" t="str">
        <f>A358</f>
        <v> $ 1,010.00 </v>
      </c>
      <c r="F358" s="6" t="str">
        <f>(B358+A358)</f>
        <v>380</v>
      </c>
      <c r="G358" t="str">
        <f>IF(F358&gt;0, "TRADE","H")</f>
        <v>TRADE</v>
      </c>
      <c r="H358" s="2"/>
      <c r="Z358" s="3"/>
    </row>
    <row r="359" ht="15.75" customHeight="1">
      <c r="A359" t="s">
        <v>14</v>
      </c>
      <c r="B359" t="s">
        <v>15</v>
      </c>
      <c r="C359" s="9">
        <v>46286.0</v>
      </c>
    </row>
    <row r="360" ht="15.75" customHeight="1">
      <c r="A360" s="6">
        <v>2382.0</v>
      </c>
      <c r="B360" s="6">
        <v>763.0</v>
      </c>
      <c r="I360" s="12"/>
      <c r="M360" s="3"/>
    </row>
    <row r="361" ht="15.75" customHeight="1">
      <c r="A361" s="10">
        <v>67.55</v>
      </c>
      <c r="B361" s="11">
        <v>23.6</v>
      </c>
    </row>
    <row r="362" ht="15.75" customHeight="1">
      <c r="A362" s="11">
        <v>68.65</v>
      </c>
      <c r="B362" s="11">
        <v>23.48</v>
      </c>
      <c r="C362">
        <v>200.0</v>
      </c>
      <c r="D362" t="s">
        <v>0</v>
      </c>
      <c r="V362" s="3"/>
    </row>
    <row r="363" ht="15.75" customHeight="1">
      <c r="A363" s="6" t="str">
        <f>(A362-A361)*C362</f>
        <v>220</v>
      </c>
      <c r="B363" s="11" t="str">
        <f>C363*(B361-B362)</f>
        <v> $ 72.00 </v>
      </c>
      <c r="C363">
        <v>600.0</v>
      </c>
      <c r="D363" t="s">
        <v>16</v>
      </c>
      <c r="E363" s="11" t="str">
        <f>A363</f>
        <v> $ 220.00 </v>
      </c>
      <c r="F363" s="11" t="str">
        <f>(B363+A363)</f>
        <v> $ 292.00 </v>
      </c>
      <c r="G363" t="str">
        <f>IF(F363&gt;0, "TRADE","H")</f>
        <v>TRADE</v>
      </c>
      <c r="V363" s="3"/>
    </row>
    <row r="364" ht="15.75" customHeight="1">
      <c r="A364" t="s">
        <v>14</v>
      </c>
      <c r="B364" t="s">
        <v>15</v>
      </c>
      <c r="C364" s="9">
        <v>46287.0</v>
      </c>
    </row>
    <row r="365" ht="15.75" customHeight="1">
      <c r="A365" s="6">
        <v>1211.0</v>
      </c>
      <c r="B365" s="6">
        <v>6680.0</v>
      </c>
      <c r="M365" s="3"/>
    </row>
    <row r="366" ht="15.75" customHeight="1">
      <c r="A366" s="10">
        <v>80.65</v>
      </c>
      <c r="B366" s="11">
        <v>16.31</v>
      </c>
    </row>
    <row r="367" ht="15.75" customHeight="1">
      <c r="A367" s="11">
        <v>81.4</v>
      </c>
      <c r="B367" s="11">
        <v>16.09</v>
      </c>
      <c r="C367" s="12">
        <v>200.0</v>
      </c>
      <c r="D367" t="s">
        <v>0</v>
      </c>
      <c r="V367" s="3"/>
    </row>
    <row r="368" ht="15.75" customHeight="1">
      <c r="A368" s="6" t="str">
        <f>(A367-A366)*C367</f>
        <v>150</v>
      </c>
      <c r="B368" s="11" t="str">
        <f>C368*(B366-B367)</f>
        <v> $ 176.00 </v>
      </c>
      <c r="C368" s="12">
        <v>800.0</v>
      </c>
      <c r="D368" t="s">
        <v>16</v>
      </c>
      <c r="E368" s="11" t="str">
        <f>A368</f>
        <v> $ 150.00 </v>
      </c>
      <c r="F368" s="11" t="str">
        <f>(B368+A368)</f>
        <v> $ 326.00 </v>
      </c>
      <c r="G368" t="str">
        <f>IF(F368&gt;0, "TRADE","H")</f>
        <v>TRADE</v>
      </c>
      <c r="V368" s="3"/>
    </row>
    <row r="369" ht="15.75" customHeight="1">
      <c r="A369" s="4"/>
      <c r="B369" s="4"/>
      <c r="C369" s="4"/>
      <c r="D369" s="4"/>
      <c r="E369" s="4"/>
      <c r="F369" s="4"/>
      <c r="G369" s="4"/>
      <c r="H369" s="1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15"/>
    </row>
    <row r="370" ht="15.75" customHeight="1">
      <c r="A370" s="6"/>
      <c r="B370" s="6" t="s">
        <v>23</v>
      </c>
      <c r="C370" s="6" t="s">
        <v>24</v>
      </c>
      <c r="D370" s="6" t="s">
        <v>25</v>
      </c>
      <c r="H370" s="2"/>
      <c r="Z370" s="3"/>
    </row>
    <row r="371" ht="15.75" customHeight="1">
      <c r="A371" s="6" t="s">
        <v>26</v>
      </c>
      <c r="B371" s="6">
        <v>25566.0</v>
      </c>
      <c r="C371" s="16">
        <v>24800.0</v>
      </c>
      <c r="D371" s="2" t="str">
        <f>(C371-B371)/B371</f>
        <v>-3.00%</v>
      </c>
      <c r="H371" s="2"/>
      <c r="Z371" s="3"/>
    </row>
    <row r="372" ht="15.75" customHeight="1">
      <c r="A372" s="6"/>
      <c r="B372" s="6"/>
      <c r="C372" s="6"/>
      <c r="H372" s="2" t="s">
        <v>27</v>
      </c>
      <c r="K372" t="s">
        <v>23</v>
      </c>
      <c r="Z372" s="3"/>
    </row>
    <row r="373" ht="15.75" customHeight="1">
      <c r="A373" t="s">
        <v>14</v>
      </c>
      <c r="B373" t="s">
        <v>15</v>
      </c>
      <c r="C373" s="9">
        <v>46262.0</v>
      </c>
      <c r="H373" s="2" t="str">
        <f t="shared" ref="H373:H374" si="5">(I373-K373)/K373-$D$371</f>
        <v>-4.19%</v>
      </c>
      <c r="I373" s="17">
        <v>1.55</v>
      </c>
      <c r="J373" s="18">
        <v>371.0</v>
      </c>
      <c r="K373">
        <v>1.67</v>
      </c>
    </row>
    <row r="374" ht="15.75" customHeight="1">
      <c r="A374" s="6">
        <v>371.0</v>
      </c>
      <c r="B374" s="6">
        <v>855.0</v>
      </c>
      <c r="H374" s="2" t="str">
        <f t="shared" si="5"/>
        <v>-1.94%</v>
      </c>
      <c r="I374" s="19">
        <v>4.24</v>
      </c>
      <c r="J374" s="20">
        <v>855.0</v>
      </c>
      <c r="K374">
        <v>4.46</v>
      </c>
    </row>
    <row r="375" ht="15.75" customHeight="1">
      <c r="A375" s="10" t="str">
        <f>-0.0554+1.73</f>
        <v>1.6746</v>
      </c>
      <c r="B375" s="11">
        <v>4.5</v>
      </c>
      <c r="H375" s="2" t="str">
        <f>H373-H374</f>
        <v>-2.25%</v>
      </c>
    </row>
    <row r="376" ht="15.75" customHeight="1">
      <c r="A376" s="21" t="str">
        <f>I373</f>
        <v> $ 1.55 </v>
      </c>
      <c r="B376" s="21" t="str">
        <f>I374</f>
        <v> $ 4.24 </v>
      </c>
      <c r="C376">
        <v>600.0</v>
      </c>
      <c r="D376" t="s">
        <v>0</v>
      </c>
      <c r="V376" s="3"/>
    </row>
    <row r="377" ht="15.75" customHeight="1">
      <c r="A377" s="6"/>
      <c r="B377" s="11"/>
      <c r="C377">
        <v>300.0</v>
      </c>
      <c r="D377" t="s">
        <v>16</v>
      </c>
      <c r="E377" s="11" t="str">
        <f>A377</f>
        <v/>
      </c>
      <c r="F377" s="11" t="str">
        <f>(B377+A377)</f>
        <v> $ -   </v>
      </c>
      <c r="G377" t="str">
        <f>IF(F377&gt;0, "TRADE","H")</f>
        <v>H</v>
      </c>
      <c r="V377" s="3"/>
    </row>
    <row r="378" ht="15.75" customHeight="1">
      <c r="A378" t="s">
        <v>14</v>
      </c>
      <c r="B378" t="s">
        <v>15</v>
      </c>
      <c r="C378" s="9">
        <v>46259.0</v>
      </c>
    </row>
    <row r="379" ht="15.75" customHeight="1">
      <c r="A379" s="6">
        <v>371.0</v>
      </c>
      <c r="B379" s="6">
        <v>855.0</v>
      </c>
    </row>
    <row r="380" ht="15.75" customHeight="1">
      <c r="A380" s="10" t="str">
        <f>-0.0554+1.73</f>
        <v>1.6746</v>
      </c>
      <c r="B380" s="11">
        <v>4.5</v>
      </c>
    </row>
    <row r="381" ht="15.75" customHeight="1">
      <c r="A381" s="11" t="str">
        <f>$A$376</f>
        <v> $ 1.55 </v>
      </c>
      <c r="B381" s="11" t="str">
        <f>$B$376</f>
        <v> $ 4.24 </v>
      </c>
      <c r="C381">
        <v>2000.0</v>
      </c>
      <c r="D381" t="s">
        <v>0</v>
      </c>
      <c r="V381" s="3"/>
    </row>
    <row r="382" ht="15.75" customHeight="1">
      <c r="A382" s="6" t="str">
        <f>(A381-A380)*C382</f>
        <v>-747.6</v>
      </c>
      <c r="B382" s="11" t="str">
        <f>C381*(B380-B381)</f>
        <v> $ 520.00 </v>
      </c>
      <c r="C382">
        <v>6000.0</v>
      </c>
      <c r="D382" t="s">
        <v>16</v>
      </c>
      <c r="E382" s="11" t="str">
        <f>A382</f>
        <v>-$ 747.60 </v>
      </c>
      <c r="F382" s="11" t="str">
        <f>(B382+A382)</f>
        <v>-$ 227.60 </v>
      </c>
      <c r="G382" t="str">
        <f>IF(F382&gt;0, "TRADE","H")</f>
        <v>H</v>
      </c>
      <c r="V382" s="3"/>
    </row>
    <row r="383" ht="15.75" customHeight="1">
      <c r="A383" t="s">
        <v>14</v>
      </c>
      <c r="B383" t="s">
        <v>15</v>
      </c>
      <c r="C383" s="9">
        <v>46154.0</v>
      </c>
      <c r="H383" s="2" t="str">
        <f t="shared" ref="H383:H384" si="6">(I383-K383)/K383-$D$371</f>
        <v>-1.47%</v>
      </c>
      <c r="I383" s="17">
        <v>38.5</v>
      </c>
      <c r="J383" s="18">
        <v>2230.0</v>
      </c>
      <c r="K383">
        <v>40.3</v>
      </c>
    </row>
    <row r="384" ht="15.75" customHeight="1">
      <c r="A384" s="6">
        <v>2230.0</v>
      </c>
      <c r="B384" s="6">
        <v>600089.0</v>
      </c>
      <c r="H384" s="2" t="str">
        <f t="shared" si="6"/>
        <v>-2.34%</v>
      </c>
      <c r="I384" s="19">
        <v>18.11</v>
      </c>
      <c r="J384" s="20">
        <v>600089.0</v>
      </c>
      <c r="K384">
        <v>19.13</v>
      </c>
    </row>
    <row r="385" ht="15.75" customHeight="1">
      <c r="A385" s="10">
        <v>49.3</v>
      </c>
      <c r="B385" s="11">
        <v>29.0</v>
      </c>
      <c r="H385" s="2" t="str">
        <f>H383-H384</f>
        <v>0.87%</v>
      </c>
    </row>
    <row r="386" ht="15.75" customHeight="1">
      <c r="A386" s="21" t="str">
        <f>I383</f>
        <v> $ 38.50 </v>
      </c>
      <c r="B386" s="21" t="str">
        <f>I384</f>
        <v> $ 18.11 </v>
      </c>
      <c r="C386">
        <v>600.0</v>
      </c>
      <c r="D386" t="s">
        <v>0</v>
      </c>
      <c r="V386" s="3"/>
    </row>
    <row r="387" ht="15.75" customHeight="1">
      <c r="A387" s="6"/>
      <c r="B387" s="11"/>
      <c r="C387">
        <v>300.0</v>
      </c>
      <c r="D387" t="s">
        <v>16</v>
      </c>
      <c r="E387" s="11" t="str">
        <f>A387</f>
        <v/>
      </c>
      <c r="F387" s="11" t="str">
        <f>(B387+A387)</f>
        <v> $ -   </v>
      </c>
      <c r="G387" t="str">
        <f>IF(F387&gt;0, "TRADE","H")</f>
        <v>H</v>
      </c>
      <c r="V387" s="3"/>
    </row>
    <row r="388" ht="15.75" customHeight="1">
      <c r="A388" t="s">
        <v>14</v>
      </c>
      <c r="B388" t="s">
        <v>15</v>
      </c>
      <c r="C388" s="9">
        <v>46259.0</v>
      </c>
    </row>
    <row r="389" ht="15.75" customHeight="1">
      <c r="A389" s="6">
        <v>60089.0</v>
      </c>
      <c r="B389" s="6">
        <v>2230.0</v>
      </c>
    </row>
    <row r="390" ht="15.75" customHeight="1">
      <c r="A390" s="10">
        <v>19.0</v>
      </c>
      <c r="B390" s="11">
        <v>39.32</v>
      </c>
    </row>
    <row r="391" ht="15.75" customHeight="1">
      <c r="A391" s="11" t="str">
        <f>$B$386</f>
        <v> $ 18.11 </v>
      </c>
      <c r="B391" s="11" t="str">
        <f>$A$386</f>
        <v> $ 38.50 </v>
      </c>
      <c r="C391">
        <v>300.0</v>
      </c>
      <c r="D391" t="s">
        <v>0</v>
      </c>
      <c r="V391" s="3"/>
    </row>
    <row r="392" ht="15.75" customHeight="1">
      <c r="A392" s="6" t="str">
        <f>(A391-A390)*C392</f>
        <v>-534</v>
      </c>
      <c r="B392" s="11" t="str">
        <f>C391*(B390-B391)</f>
        <v> $ 246.00 </v>
      </c>
      <c r="C392">
        <v>600.0</v>
      </c>
      <c r="D392" t="s">
        <v>16</v>
      </c>
      <c r="E392" s="11" t="str">
        <f>A392</f>
        <v>-$ 534.00 </v>
      </c>
      <c r="F392" s="11" t="str">
        <f>(B392+A392)</f>
        <v>-$ 288.00 </v>
      </c>
      <c r="G392" t="str">
        <f>IF(F392&gt;0, "TRADE","H")</f>
        <v>H</v>
      </c>
      <c r="V392" s="3"/>
    </row>
    <row r="393" ht="15.75" customHeight="1">
      <c r="A393" t="s">
        <v>14</v>
      </c>
      <c r="B393" t="s">
        <v>15</v>
      </c>
      <c r="C393" s="9">
        <v>46217.0</v>
      </c>
      <c r="H393" s="2" t="str">
        <f t="shared" ref="H393:H394" si="7">(I393-K393)/K393-$D$371</f>
        <v>-3.45%</v>
      </c>
      <c r="I393" s="17">
        <v>90.0</v>
      </c>
      <c r="J393" s="18" t="s">
        <v>20</v>
      </c>
      <c r="K393">
        <v>96.2</v>
      </c>
    </row>
    <row r="394" ht="15.75" customHeight="1">
      <c r="A394" s="6" t="s">
        <v>20</v>
      </c>
      <c r="B394" s="6">
        <v>9988.0</v>
      </c>
      <c r="H394" s="2" t="str">
        <f t="shared" si="7"/>
        <v>-3.13%</v>
      </c>
      <c r="I394" s="19">
        <v>107.2</v>
      </c>
      <c r="J394" s="20">
        <v>9988.0</v>
      </c>
      <c r="K394">
        <v>114.2</v>
      </c>
    </row>
    <row r="395" ht="15.75" customHeight="1">
      <c r="A395" s="10">
        <v>109.3</v>
      </c>
      <c r="B395" s="11">
        <v>108.7</v>
      </c>
      <c r="H395" s="2" t="str">
        <f>H393-H394</f>
        <v>-0.32%</v>
      </c>
    </row>
    <row r="396" ht="15.75" customHeight="1">
      <c r="A396" s="21" t="str">
        <f>I393</f>
        <v> $ 90.00 </v>
      </c>
      <c r="B396" s="21" t="str">
        <f>I394</f>
        <v> $ 107.20 </v>
      </c>
      <c r="C396">
        <v>200.0</v>
      </c>
      <c r="D396" t="s">
        <v>0</v>
      </c>
      <c r="V396" s="3"/>
    </row>
    <row r="397" ht="15.75" customHeight="1">
      <c r="A397" s="6"/>
      <c r="B397" s="11"/>
      <c r="C397">
        <v>200.0</v>
      </c>
      <c r="D397" t="s">
        <v>16</v>
      </c>
      <c r="E397" s="11" t="str">
        <f>A397</f>
        <v/>
      </c>
      <c r="F397" s="11" t="str">
        <f>(B397+A397)</f>
        <v> $ -   </v>
      </c>
      <c r="G397" t="str">
        <f>IF(F397&gt;0, "TRADE","H")</f>
        <v>H</v>
      </c>
      <c r="V397" s="3"/>
    </row>
    <row r="398" ht="15.75" customHeight="1">
      <c r="A398" t="s">
        <v>14</v>
      </c>
      <c r="B398" t="s">
        <v>15</v>
      </c>
      <c r="C398" s="9">
        <v>46217.0</v>
      </c>
    </row>
    <row r="399" ht="15.75" customHeight="1">
      <c r="A399" s="6" t="s">
        <v>20</v>
      </c>
      <c r="B399" s="6">
        <v>9988.0</v>
      </c>
    </row>
    <row r="400" ht="15.75" customHeight="1">
      <c r="A400" s="10">
        <v>109.3</v>
      </c>
      <c r="B400" s="11">
        <v>108.7</v>
      </c>
    </row>
    <row r="401" ht="15.75" customHeight="1">
      <c r="A401" s="11" t="str">
        <f>$A$396</f>
        <v> $ 90.00 </v>
      </c>
      <c r="B401" s="11" t="str">
        <f>$B$396</f>
        <v> $ 107.20 </v>
      </c>
      <c r="C401">
        <v>200.0</v>
      </c>
      <c r="D401" t="s">
        <v>0</v>
      </c>
      <c r="V401" s="3"/>
    </row>
    <row r="402" ht="15.75" customHeight="1">
      <c r="A402" s="6" t="str">
        <f>(A401-A400)*C402</f>
        <v>-3860</v>
      </c>
      <c r="B402" s="11" t="str">
        <f>C401*(B400-B401)</f>
        <v> $ 300.00 </v>
      </c>
      <c r="C402">
        <v>200.0</v>
      </c>
      <c r="D402" t="s">
        <v>16</v>
      </c>
      <c r="E402" s="11" t="str">
        <f>A402</f>
        <v>-$ 3,860.00 </v>
      </c>
      <c r="F402" s="11" t="str">
        <f>(B402+A402)</f>
        <v>-$ 3,560.00 </v>
      </c>
      <c r="G402" t="str">
        <f>IF(F402&gt;0, "TRADE","H")</f>
        <v>H</v>
      </c>
      <c r="V402" s="3"/>
    </row>
    <row r="403" ht="15.75" customHeight="1">
      <c r="A403" t="s">
        <v>14</v>
      </c>
      <c r="B403" t="s">
        <v>15</v>
      </c>
      <c r="C403" s="9">
        <v>46217.0</v>
      </c>
    </row>
    <row r="404" ht="15.75" customHeight="1">
      <c r="A404" s="6" t="s">
        <v>20</v>
      </c>
      <c r="B404" s="6">
        <v>9988.0</v>
      </c>
    </row>
    <row r="405" ht="15.75" customHeight="1">
      <c r="A405" s="10">
        <v>105.7</v>
      </c>
      <c r="B405" s="11">
        <v>107.2</v>
      </c>
    </row>
    <row r="406" ht="15.75" customHeight="1">
      <c r="A406" s="11" t="str">
        <f>$A$396</f>
        <v> $ 90.00 </v>
      </c>
      <c r="B406" s="11" t="str">
        <f>$B$396</f>
        <v> $ 107.20 </v>
      </c>
      <c r="C406">
        <v>200.0</v>
      </c>
      <c r="D406" t="s">
        <v>0</v>
      </c>
      <c r="V406" s="3"/>
    </row>
    <row r="407" ht="15.75" customHeight="1">
      <c r="A407" s="6" t="str">
        <f>(A406-A405)*C407</f>
        <v>-3140</v>
      </c>
      <c r="B407" s="11" t="str">
        <f>C406*(B405-B406)</f>
        <v> $ -   </v>
      </c>
      <c r="C407">
        <v>200.0</v>
      </c>
      <c r="D407" t="s">
        <v>16</v>
      </c>
      <c r="E407" s="11" t="str">
        <f>A407</f>
        <v>-$ 3,140.00 </v>
      </c>
      <c r="F407" s="11" t="str">
        <f>(B407+A407)</f>
        <v>-$ 3,140.00 </v>
      </c>
      <c r="G407" t="str">
        <f>IF(F407&gt;0, "TRADE","H")</f>
        <v>H</v>
      </c>
      <c r="V407" s="3"/>
    </row>
    <row r="408" ht="15.75" customHeight="1">
      <c r="A408" t="s">
        <v>14</v>
      </c>
      <c r="B408" t="s">
        <v>15</v>
      </c>
      <c r="C408" s="9">
        <v>46084.0</v>
      </c>
      <c r="H408" s="2" t="str">
        <f t="shared" ref="H408:H409" si="8">(I408-K408)/K408-$D$371</f>
        <v>-6.98%</v>
      </c>
      <c r="I408" s="17">
        <v>2.03</v>
      </c>
      <c r="J408" s="18">
        <v>968.0</v>
      </c>
      <c r="K408">
        <v>2.255</v>
      </c>
    </row>
    <row r="409" ht="15.75" customHeight="1">
      <c r="A409" s="6">
        <v>3800.0</v>
      </c>
      <c r="B409" s="6">
        <v>968.0</v>
      </c>
      <c r="H409" s="2" t="str">
        <f t="shared" si="8"/>
        <v>10.85%</v>
      </c>
      <c r="I409" s="19">
        <v>0.755</v>
      </c>
      <c r="J409" s="20">
        <v>3800.0</v>
      </c>
      <c r="K409">
        <v>0.7</v>
      </c>
    </row>
    <row r="410" ht="15.75" customHeight="1">
      <c r="A410" s="10">
        <v>1.1</v>
      </c>
      <c r="B410" s="11" t="str">
        <f>-0.008+3.12</f>
        <v> $ 3.11 </v>
      </c>
      <c r="H410" s="2" t="s">
        <v>28</v>
      </c>
    </row>
    <row r="411" ht="15.75" customHeight="1">
      <c r="A411" s="21" t="str">
        <f>I409</f>
        <v> $ 0.76 </v>
      </c>
      <c r="B411" s="21" t="str">
        <f>I408</f>
        <v> $ 2.03 </v>
      </c>
      <c r="C411">
        <v>4000.0</v>
      </c>
      <c r="D411" t="s">
        <v>0</v>
      </c>
      <c r="V411" s="3"/>
    </row>
    <row r="412" ht="15.75" customHeight="1">
      <c r="A412" s="6"/>
      <c r="B412" s="11"/>
      <c r="C412">
        <v>12000.0</v>
      </c>
      <c r="D412" t="s">
        <v>16</v>
      </c>
      <c r="E412" s="11" t="str">
        <f>A412</f>
        <v/>
      </c>
      <c r="F412" s="11" t="str">
        <f>(B412+A412)</f>
        <v> $ -   </v>
      </c>
      <c r="G412" t="str">
        <f>IF(F412&gt;0, "TRADE","H")</f>
        <v>H</v>
      </c>
      <c r="V412" s="3"/>
    </row>
    <row r="413" ht="15.75" customHeight="1">
      <c r="A413" t="s">
        <v>14</v>
      </c>
      <c r="B413" t="s">
        <v>15</v>
      </c>
      <c r="C413" s="9">
        <v>46286.0</v>
      </c>
    </row>
    <row r="414" ht="15.75" customHeight="1">
      <c r="A414" s="6">
        <v>968.0</v>
      </c>
      <c r="B414" s="6">
        <v>3800.0</v>
      </c>
    </row>
    <row r="415" ht="15.75" customHeight="1">
      <c r="A415" s="10">
        <v>2.03</v>
      </c>
      <c r="B415" s="11">
        <v>0.755</v>
      </c>
    </row>
    <row r="416" ht="15.75" customHeight="1">
      <c r="A416" s="11" t="str">
        <f>$B$411</f>
        <v> $ 2.03 </v>
      </c>
      <c r="B416" s="11" t="str">
        <f>$A$411</f>
        <v> $ 0.76 </v>
      </c>
      <c r="C416">
        <v>12000.0</v>
      </c>
      <c r="D416" t="s">
        <v>0</v>
      </c>
      <c r="V416" s="3"/>
    </row>
    <row r="417" ht="15.75" customHeight="1">
      <c r="A417" s="6" t="str">
        <f>(A416-A415)*C417</f>
        <v>0</v>
      </c>
      <c r="B417" s="11" t="str">
        <f>C416*(B415-B416)</f>
        <v> $ -   </v>
      </c>
      <c r="C417">
        <v>4000.0</v>
      </c>
      <c r="D417" t="s">
        <v>16</v>
      </c>
      <c r="E417" s="11" t="str">
        <f>A417</f>
        <v> $ -   </v>
      </c>
      <c r="F417" s="11" t="str">
        <f>(B417+A417)</f>
        <v> $ -   </v>
      </c>
      <c r="G417" t="str">
        <f>IF(F417&gt;0, "TRADE","H")</f>
        <v>H</v>
      </c>
      <c r="V417" s="3"/>
    </row>
    <row r="418" ht="15.75" customHeight="1">
      <c r="A418" t="s">
        <v>14</v>
      </c>
      <c r="B418" t="s">
        <v>15</v>
      </c>
      <c r="C418" s="9">
        <v>46260.0</v>
      </c>
    </row>
    <row r="419" ht="15.75" customHeight="1">
      <c r="A419" s="6">
        <v>968.0</v>
      </c>
      <c r="B419" s="6">
        <v>3800.0</v>
      </c>
    </row>
    <row r="420" ht="15.75" customHeight="1">
      <c r="A420" s="10">
        <v>2.355</v>
      </c>
      <c r="B420" s="11">
        <v>0.75</v>
      </c>
    </row>
    <row r="421" ht="15.75" customHeight="1">
      <c r="A421" s="11" t="str">
        <f>$B$411</f>
        <v> $ 2.03 </v>
      </c>
      <c r="B421" s="11" t="str">
        <f>$A$411</f>
        <v> $ 0.76 </v>
      </c>
      <c r="C421">
        <v>12000.0</v>
      </c>
      <c r="D421" t="s">
        <v>0</v>
      </c>
      <c r="V421" s="3"/>
    </row>
    <row r="422" ht="15.75" customHeight="1">
      <c r="A422" s="6" t="str">
        <f>(A421-A420)*C422</f>
        <v>-1300</v>
      </c>
      <c r="B422" s="11" t="str">
        <f>C421*(B420-B421)</f>
        <v>-$ 60.00 </v>
      </c>
      <c r="C422">
        <v>4000.0</v>
      </c>
      <c r="D422" t="s">
        <v>16</v>
      </c>
      <c r="E422" s="11" t="str">
        <f>A422</f>
        <v>-$ 1,300.00 </v>
      </c>
      <c r="F422" s="11" t="str">
        <f>(B422+A422)</f>
        <v>-$ 1,360.00 </v>
      </c>
      <c r="G422" t="str">
        <f>IF(F422&gt;0, "TRADE","H")</f>
        <v>H</v>
      </c>
      <c r="V422" s="3"/>
    </row>
    <row r="423" ht="15.75" customHeight="1">
      <c r="A423" t="s">
        <v>14</v>
      </c>
      <c r="B423" t="s">
        <v>15</v>
      </c>
      <c r="C423" s="9">
        <v>46240.0</v>
      </c>
    </row>
    <row r="424" ht="15.75" customHeight="1">
      <c r="A424" s="6">
        <v>968.0</v>
      </c>
      <c r="B424" s="6">
        <v>3800.0</v>
      </c>
    </row>
    <row r="425" ht="15.75" customHeight="1">
      <c r="A425" s="10" t="str">
        <f>-0.0023+2.32</f>
        <v>2.3177</v>
      </c>
      <c r="B425" s="11">
        <v>0.685</v>
      </c>
    </row>
    <row r="426" ht="15.75" customHeight="1">
      <c r="A426" s="11" t="str">
        <f>$B$411</f>
        <v> $ 2.03 </v>
      </c>
      <c r="B426" s="11" t="str">
        <f>$A$411</f>
        <v> $ 0.76 </v>
      </c>
      <c r="C426">
        <v>12000.0</v>
      </c>
      <c r="D426" t="s">
        <v>0</v>
      </c>
      <c r="V426" s="3"/>
    </row>
    <row r="427" ht="15.75" customHeight="1">
      <c r="A427" s="6" t="str">
        <f>(A426-A425)*C427</f>
        <v>-1150.8</v>
      </c>
      <c r="B427" s="11" t="str">
        <f>C426*(B425-B426)</f>
        <v>-$ 840.00 </v>
      </c>
      <c r="C427">
        <v>4000.0</v>
      </c>
      <c r="D427" t="s">
        <v>16</v>
      </c>
      <c r="E427" s="11" t="str">
        <f>A427</f>
        <v>-$ 1,150.80 </v>
      </c>
      <c r="F427" s="11" t="str">
        <f>(B427+A427)</f>
        <v>-$ 1,990.80 </v>
      </c>
      <c r="G427" t="str">
        <f>IF(F427&gt;0, "TRADE","H")</f>
        <v>H</v>
      </c>
      <c r="V427" s="3"/>
    </row>
    <row r="428" ht="15.75" customHeight="1">
      <c r="A428" t="s">
        <v>14</v>
      </c>
      <c r="B428" t="s">
        <v>15</v>
      </c>
      <c r="C428" s="9">
        <v>46148.0</v>
      </c>
      <c r="H428" s="2" t="str">
        <f t="shared" ref="H428:H429" si="9">(I428-K428)/K428-$D$371</f>
        <v>11.62%</v>
      </c>
      <c r="I428" s="17">
        <v>0.315</v>
      </c>
      <c r="J428" s="18">
        <v>1725.0</v>
      </c>
      <c r="K428">
        <v>0.29</v>
      </c>
    </row>
    <row r="429" ht="15.75" customHeight="1">
      <c r="A429" s="6">
        <v>1725.0</v>
      </c>
      <c r="B429" s="6">
        <v>31.0</v>
      </c>
      <c r="H429" s="2" t="str">
        <f t="shared" si="9"/>
        <v>14.45%</v>
      </c>
      <c r="I429" s="19">
        <v>0.535</v>
      </c>
      <c r="J429" s="20">
        <v>31.0</v>
      </c>
      <c r="K429">
        <v>0.48</v>
      </c>
    </row>
    <row r="430" ht="15.75" customHeight="1">
      <c r="A430" s="10">
        <v>0.6</v>
      </c>
      <c r="B430" s="11">
        <v>0.55</v>
      </c>
      <c r="H430" s="2" t="str">
        <f>H428-H429</f>
        <v>-2.84%</v>
      </c>
      <c r="M430" s="3"/>
    </row>
    <row r="431" ht="15.75" customHeight="1">
      <c r="A431" s="21" t="str">
        <f>I428</f>
        <v> $ 0.32 </v>
      </c>
      <c r="B431" s="21" t="str">
        <f>I429</f>
        <v> $ 0.54 </v>
      </c>
      <c r="C431">
        <v>24000.0</v>
      </c>
      <c r="D431" t="s">
        <v>0</v>
      </c>
      <c r="V431" s="3"/>
    </row>
    <row r="432" ht="15.75" customHeight="1">
      <c r="A432" s="6"/>
      <c r="B432" s="11"/>
      <c r="C432">
        <v>18000.0</v>
      </c>
      <c r="D432" t="s">
        <v>16</v>
      </c>
      <c r="E432" s="11" t="str">
        <f>A432</f>
        <v/>
      </c>
      <c r="F432" s="11" t="str">
        <f>(B432+A432)</f>
        <v> $ -   </v>
      </c>
      <c r="G432" t="str">
        <f>IF(F432&gt;0, "TRADE","H")</f>
        <v>H</v>
      </c>
      <c r="V432" s="3"/>
    </row>
    <row r="433" ht="15.75" customHeight="1">
      <c r="A433" t="s">
        <v>14</v>
      </c>
      <c r="B433" t="s">
        <v>15</v>
      </c>
      <c r="C433" s="9">
        <v>46148.0</v>
      </c>
    </row>
    <row r="434" ht="15.75" customHeight="1">
      <c r="A434" s="6">
        <v>1725.0</v>
      </c>
      <c r="B434" s="6">
        <v>31.0</v>
      </c>
    </row>
    <row r="435" ht="15.75" customHeight="1">
      <c r="A435" s="10">
        <v>0.6</v>
      </c>
      <c r="B435" s="11">
        <v>0.55</v>
      </c>
      <c r="I435" s="3"/>
    </row>
    <row r="436" ht="15.75" customHeight="1">
      <c r="A436" s="21" t="str">
        <f>$A$431</f>
        <v> $ 0.32 </v>
      </c>
      <c r="B436" s="21" t="str">
        <f>$B$431</f>
        <v> $ 0.54 </v>
      </c>
      <c r="C436">
        <v>24000.0</v>
      </c>
      <c r="D436" t="s">
        <v>0</v>
      </c>
      <c r="V436" s="3"/>
    </row>
    <row r="437" ht="15.75" customHeight="1">
      <c r="A437" s="6" t="str">
        <f>(A436-A435)*C436</f>
        <v>-6840</v>
      </c>
      <c r="B437" s="11" t="str">
        <f>C437*(B435-B436)</f>
        <v> $ 270.00 </v>
      </c>
      <c r="C437">
        <v>18000.0</v>
      </c>
      <c r="D437" t="s">
        <v>16</v>
      </c>
      <c r="E437" s="11" t="str">
        <f>A437</f>
        <v>-$ 6,840.00 </v>
      </c>
      <c r="F437" s="11" t="str">
        <f>(B437+A437)</f>
        <v>-$ 6,570.00 </v>
      </c>
      <c r="G437" t="str">
        <f>IF(F437&gt;0, "TRADE","H")</f>
        <v>H</v>
      </c>
      <c r="V437" s="3"/>
    </row>
    <row r="438" ht="15.75" customHeight="1">
      <c r="A438" t="s">
        <v>14</v>
      </c>
      <c r="B438" t="s">
        <v>15</v>
      </c>
      <c r="C438" s="9">
        <v>46035.0</v>
      </c>
      <c r="H438" s="2" t="str">
        <f t="shared" ref="H438:H439" si="10">(I438-K438)/K438-$D$371</f>
        <v>1.82%</v>
      </c>
      <c r="I438" s="17">
        <v>23.48</v>
      </c>
      <c r="J438" s="18">
        <v>763.0</v>
      </c>
      <c r="K438">
        <v>23.76</v>
      </c>
    </row>
    <row r="439" ht="15.75" customHeight="1">
      <c r="A439" s="6">
        <v>763.0</v>
      </c>
      <c r="B439" s="6">
        <v>2382.0</v>
      </c>
      <c r="H439" s="2" t="str">
        <f t="shared" si="10"/>
        <v>-0.45%</v>
      </c>
      <c r="I439" s="19">
        <v>68.65</v>
      </c>
      <c r="J439" s="20">
        <v>2382.0</v>
      </c>
      <c r="K439">
        <v>71.1</v>
      </c>
      <c r="M439" s="3"/>
    </row>
    <row r="440" ht="15.75" customHeight="1">
      <c r="A440" s="6" t="str">
        <f>-0.47+30.42</f>
        <v>29.95</v>
      </c>
      <c r="B440" s="11" t="str">
        <f>-1.206+66.06</f>
        <v> $ 64.85 </v>
      </c>
      <c r="H440" s="2" t="str">
        <f>H438-H439</f>
        <v>2.27%</v>
      </c>
    </row>
    <row r="441" ht="15.75" customHeight="1">
      <c r="A441" s="21" t="str">
        <f>I438</f>
        <v> $ 23.48 </v>
      </c>
      <c r="B441" s="21" t="str">
        <f>I439</f>
        <v> $ 68.65 </v>
      </c>
      <c r="C441">
        <v>600.0</v>
      </c>
      <c r="D441" t="s">
        <v>0</v>
      </c>
      <c r="V441" s="3"/>
    </row>
    <row r="442" ht="15.75" customHeight="1">
      <c r="A442" s="6"/>
      <c r="B442" s="11"/>
      <c r="C442">
        <v>200.0</v>
      </c>
      <c r="D442" t="s">
        <v>16</v>
      </c>
      <c r="E442" s="11" t="str">
        <f>A442</f>
        <v/>
      </c>
      <c r="F442" s="11" t="str">
        <f>(B442+A442)</f>
        <v> $ -   </v>
      </c>
      <c r="G442" t="str">
        <f>IF(F442&gt;0, "TRADE","H")</f>
        <v>H</v>
      </c>
      <c r="V442" s="3"/>
    </row>
    <row r="443" ht="15.75" customHeight="1">
      <c r="A443" t="s">
        <v>14</v>
      </c>
      <c r="B443" t="s">
        <v>15</v>
      </c>
      <c r="C443" s="9">
        <v>46198.0</v>
      </c>
    </row>
    <row r="444" ht="15.75" customHeight="1">
      <c r="A444" s="6">
        <v>2382.0</v>
      </c>
      <c r="B444" s="6">
        <v>763.0</v>
      </c>
      <c r="M444" s="3"/>
    </row>
    <row r="445" ht="15.75" customHeight="1">
      <c r="A445" s="10">
        <v>77.1</v>
      </c>
      <c r="B445" s="11">
        <v>24.56</v>
      </c>
    </row>
    <row r="446" ht="15.75" customHeight="1">
      <c r="A446" s="11" t="str">
        <f>$B$441</f>
        <v> $ 68.65 </v>
      </c>
      <c r="B446" s="11" t="str">
        <f>$A$441</f>
        <v> $ 23.48 </v>
      </c>
      <c r="C446" s="22">
        <v>300.0</v>
      </c>
      <c r="D446" t="s">
        <v>0</v>
      </c>
      <c r="V446" s="3"/>
    </row>
    <row r="447" ht="15.75" customHeight="1">
      <c r="A447" s="6" t="str">
        <f>(A446-A445)*C446</f>
        <v>-2535</v>
      </c>
      <c r="B447" s="11" t="str">
        <f>C447*(B445-B446)</f>
        <v> $ 1,080.00 </v>
      </c>
      <c r="C447" s="22">
        <v>1000.0</v>
      </c>
      <c r="D447" t="s">
        <v>16</v>
      </c>
      <c r="E447" s="11" t="str">
        <f>A447</f>
        <v>-$ 2,535.00 </v>
      </c>
      <c r="F447" s="11" t="str">
        <f>(B447+A447)</f>
        <v>-$ 1,455.00 </v>
      </c>
      <c r="G447" t="str">
        <f>IF(F447&gt;0, "TRADE","H")</f>
        <v>H</v>
      </c>
      <c r="V447" s="3"/>
    </row>
    <row r="448" ht="15.75" customHeight="1">
      <c r="A448" t="s">
        <v>14</v>
      </c>
      <c r="B448" t="s">
        <v>15</v>
      </c>
      <c r="C448" s="9">
        <v>46198.0</v>
      </c>
    </row>
    <row r="449" ht="15.75" customHeight="1">
      <c r="A449" s="6">
        <v>2382.0</v>
      </c>
      <c r="B449" s="6">
        <v>763.0</v>
      </c>
      <c r="I449" s="12"/>
      <c r="M449" s="3"/>
    </row>
    <row r="450" ht="15.75" customHeight="1">
      <c r="A450" s="10">
        <v>76.0</v>
      </c>
      <c r="B450" s="11">
        <v>24.66</v>
      </c>
    </row>
    <row r="451" ht="15.75" customHeight="1">
      <c r="A451" s="11" t="str">
        <f>$B$441</f>
        <v> $ 68.65 </v>
      </c>
      <c r="B451" s="11" t="str">
        <f>$A$441</f>
        <v> $ 23.48 </v>
      </c>
      <c r="C451">
        <v>200.0</v>
      </c>
      <c r="D451" t="s">
        <v>0</v>
      </c>
      <c r="V451" s="3"/>
    </row>
    <row r="452" ht="15.75" customHeight="1">
      <c r="A452" s="6" t="str">
        <f>(A451-A450)*C451</f>
        <v>-1470</v>
      </c>
      <c r="B452" s="11" t="str">
        <f>C452*(B450-B451)</f>
        <v> $ 708.00 </v>
      </c>
      <c r="C452">
        <v>600.0</v>
      </c>
      <c r="D452" t="s">
        <v>16</v>
      </c>
      <c r="E452" s="11" t="str">
        <f>A452</f>
        <v>-$ 1,470.00 </v>
      </c>
      <c r="F452" s="11" t="str">
        <f>(B452+A452)</f>
        <v>-$ 762.00 </v>
      </c>
      <c r="G452" t="str">
        <f>IF(F452&gt;0, "TRADE","H")</f>
        <v>H</v>
      </c>
      <c r="V452" s="3"/>
    </row>
    <row r="453" ht="15.75" customHeight="1">
      <c r="A453" t="s">
        <v>14</v>
      </c>
      <c r="B453" t="s">
        <v>15</v>
      </c>
      <c r="C453" s="9">
        <v>46283.0</v>
      </c>
    </row>
    <row r="454" ht="15.75" customHeight="1">
      <c r="A454" s="6">
        <v>2382.0</v>
      </c>
      <c r="B454" s="6">
        <v>763.0</v>
      </c>
      <c r="I454" s="12"/>
      <c r="M454" s="3"/>
    </row>
    <row r="455" ht="15.75" customHeight="1">
      <c r="A455" s="10">
        <v>67.65</v>
      </c>
      <c r="B455" s="11">
        <v>22.78</v>
      </c>
    </row>
    <row r="456" ht="15.75" customHeight="1">
      <c r="A456" s="11" t="str">
        <f>$B$441</f>
        <v> $ 68.65 </v>
      </c>
      <c r="B456" s="11" t="str">
        <f>$A$441</f>
        <v> $ 23.48 </v>
      </c>
      <c r="C456">
        <v>200.0</v>
      </c>
      <c r="D456" t="s">
        <v>0</v>
      </c>
      <c r="V456" s="3"/>
    </row>
    <row r="457" ht="15.75" customHeight="1">
      <c r="A457" s="6" t="str">
        <f>(A456-A455)*C456</f>
        <v>200</v>
      </c>
      <c r="B457" s="11" t="str">
        <f>C457*(B455-B456)</f>
        <v>-$ 420.00 </v>
      </c>
      <c r="C457">
        <v>600.0</v>
      </c>
      <c r="D457" t="s">
        <v>16</v>
      </c>
      <c r="E457" s="11" t="str">
        <f>A457</f>
        <v> $ 200.00 </v>
      </c>
      <c r="F457" s="11" t="str">
        <f>(B457+A457)</f>
        <v>-$ 220.00 </v>
      </c>
      <c r="G457" t="str">
        <f>IF(F457&gt;0, "TRADE","H")</f>
        <v>H</v>
      </c>
      <c r="V457" s="3"/>
    </row>
    <row r="458" ht="15.75" customHeight="1">
      <c r="A458" t="s">
        <v>14</v>
      </c>
      <c r="B458" t="s">
        <v>15</v>
      </c>
      <c r="C458" s="9">
        <v>46283.0</v>
      </c>
    </row>
    <row r="459" ht="15.75" customHeight="1">
      <c r="A459" s="6">
        <v>2382.0</v>
      </c>
      <c r="B459" s="6">
        <v>763.0</v>
      </c>
      <c r="I459" s="12"/>
      <c r="M459" s="3"/>
    </row>
    <row r="460" ht="15.75" customHeight="1">
      <c r="A460" s="10">
        <v>67.1</v>
      </c>
      <c r="B460" s="11">
        <v>22.92</v>
      </c>
    </row>
    <row r="461" ht="15.75" customHeight="1">
      <c r="A461" s="11" t="str">
        <f>$B$441</f>
        <v> $ 68.65 </v>
      </c>
      <c r="B461" s="11" t="str">
        <f>$A$441</f>
        <v> $ 23.48 </v>
      </c>
      <c r="C461">
        <v>200.0</v>
      </c>
      <c r="D461" t="s">
        <v>0</v>
      </c>
      <c r="V461" s="3"/>
    </row>
    <row r="462" ht="15.75" customHeight="1">
      <c r="A462" s="6" t="str">
        <f>(A461-A460)*C461</f>
        <v>310</v>
      </c>
      <c r="B462" s="11" t="str">
        <f>C462*(B460-B461)</f>
        <v>-$ 336.00 </v>
      </c>
      <c r="C462">
        <v>600.0</v>
      </c>
      <c r="D462" t="s">
        <v>16</v>
      </c>
      <c r="E462" s="11" t="str">
        <f>A462</f>
        <v> $ 310.00 </v>
      </c>
      <c r="F462" s="11" t="str">
        <f>(B462+A462)</f>
        <v>-$ 26.00 </v>
      </c>
      <c r="G462" t="str">
        <f>IF(F462&gt;0, "TRADE","H")</f>
        <v>H</v>
      </c>
      <c r="V462" s="3"/>
    </row>
    <row r="463" ht="15.75" customHeight="1">
      <c r="A463" t="s">
        <v>14</v>
      </c>
      <c r="B463" t="s">
        <v>15</v>
      </c>
      <c r="C463" s="9">
        <v>46287.0</v>
      </c>
    </row>
    <row r="464" ht="15.75" customHeight="1">
      <c r="A464" s="6">
        <v>763.0</v>
      </c>
      <c r="B464" s="6">
        <v>2382.0</v>
      </c>
      <c r="M464" s="3"/>
    </row>
    <row r="465" ht="15.75" customHeight="1">
      <c r="A465" s="10">
        <v>23.48</v>
      </c>
      <c r="B465" s="11">
        <v>68.65</v>
      </c>
    </row>
    <row r="466" ht="15.75" customHeight="1">
      <c r="A466" s="11" t="str">
        <f>$A$441</f>
        <v> $ 23.48 </v>
      </c>
      <c r="B466" s="11" t="str">
        <f>$B$441</f>
        <v> $ 68.65 </v>
      </c>
      <c r="C466">
        <v>600.0</v>
      </c>
      <c r="D466" t="s">
        <v>0</v>
      </c>
      <c r="V466" s="3"/>
    </row>
    <row r="467" ht="15.75" customHeight="1">
      <c r="A467" s="6" t="str">
        <f>(A466-A465)*C466</f>
        <v>0</v>
      </c>
      <c r="B467" s="11" t="str">
        <f>C467*(B465-B466)</f>
        <v> $ -   </v>
      </c>
      <c r="C467">
        <v>200.0</v>
      </c>
      <c r="D467" t="s">
        <v>16</v>
      </c>
      <c r="E467" s="11" t="str">
        <f>A467</f>
        <v> $ -   </v>
      </c>
      <c r="F467" s="11" t="str">
        <f>(B467+A467)</f>
        <v> $ -   </v>
      </c>
      <c r="G467" t="str">
        <f>IF(F467&gt;0, "TRADE","H")</f>
        <v>H</v>
      </c>
      <c r="V467" s="3"/>
    </row>
    <row r="468" ht="15.75" customHeight="1">
      <c r="A468" t="s">
        <v>14</v>
      </c>
      <c r="B468" t="s">
        <v>15</v>
      </c>
      <c r="C468" s="9">
        <v>46262.0</v>
      </c>
    </row>
    <row r="469" ht="15.75" customHeight="1">
      <c r="A469" s="6">
        <v>763.0</v>
      </c>
      <c r="B469" s="6">
        <v>2382.0</v>
      </c>
      <c r="M469" s="3"/>
    </row>
    <row r="470" ht="15.75" customHeight="1">
      <c r="A470" s="10">
        <v>23.76</v>
      </c>
      <c r="B470" s="11">
        <v>65.95</v>
      </c>
    </row>
    <row r="471" ht="15.75" customHeight="1">
      <c r="A471" s="11" t="str">
        <f>$A$441</f>
        <v> $ 23.48 </v>
      </c>
      <c r="B471" s="11" t="str">
        <f>$B$441</f>
        <v> $ 68.65 </v>
      </c>
      <c r="C471">
        <v>600.0</v>
      </c>
      <c r="D471" t="s">
        <v>0</v>
      </c>
      <c r="V471" s="3"/>
    </row>
    <row r="472" ht="15.75" customHeight="1">
      <c r="A472" s="6" t="str">
        <f>(A471-A470)*C471</f>
        <v>-168</v>
      </c>
      <c r="B472" s="11" t="str">
        <f>C472*(B470-B471)</f>
        <v>-$ 540.00 </v>
      </c>
      <c r="C472">
        <v>200.0</v>
      </c>
      <c r="D472" t="s">
        <v>16</v>
      </c>
      <c r="E472" s="11" t="str">
        <f>A472</f>
        <v>-$ 168.00 </v>
      </c>
      <c r="F472" s="11" t="str">
        <f>(B472+A472)</f>
        <v>-$ 708.00 </v>
      </c>
      <c r="G472" t="str">
        <f>IF(F472&gt;0, "TRADE","H")</f>
        <v>H</v>
      </c>
      <c r="V472" s="3"/>
    </row>
    <row r="473" ht="15.75" customHeight="1">
      <c r="A473" t="s">
        <v>14</v>
      </c>
      <c r="B473" t="s">
        <v>15</v>
      </c>
      <c r="C473" s="9">
        <v>46259.0</v>
      </c>
    </row>
    <row r="474" ht="15.75" customHeight="1">
      <c r="A474" s="6">
        <v>763.0</v>
      </c>
      <c r="B474" s="6">
        <v>2382.0</v>
      </c>
      <c r="M474" s="3"/>
    </row>
    <row r="475" ht="15.75" customHeight="1">
      <c r="A475" s="10">
        <v>23.32</v>
      </c>
      <c r="B475" s="11">
        <v>60.65</v>
      </c>
    </row>
    <row r="476" ht="15.75" customHeight="1">
      <c r="A476" s="11" t="str">
        <f>$A$441</f>
        <v> $ 23.48 </v>
      </c>
      <c r="B476" s="11" t="str">
        <f>$B$441</f>
        <v> $ 68.65 </v>
      </c>
      <c r="C476">
        <v>600.0</v>
      </c>
      <c r="D476" t="s">
        <v>0</v>
      </c>
      <c r="V476" s="3"/>
    </row>
    <row r="477" ht="15.75" customHeight="1">
      <c r="A477" s="6" t="str">
        <f>(A476-A475)*C476</f>
        <v>96</v>
      </c>
      <c r="B477" s="11" t="str">
        <f>C477*(B475-B476)</f>
        <v>-$ 1,600.00 </v>
      </c>
      <c r="C477">
        <v>200.0</v>
      </c>
      <c r="D477" t="s">
        <v>16</v>
      </c>
      <c r="E477" s="11" t="str">
        <f>A477</f>
        <v> $ 96.00 </v>
      </c>
      <c r="F477" s="11" t="str">
        <f>(B477+A477)</f>
        <v>-$ 1,504.00 </v>
      </c>
      <c r="G477" t="str">
        <f>IF(F477&gt;0, "TRADE","H")</f>
        <v>H</v>
      </c>
      <c r="V477" s="3"/>
    </row>
    <row r="478" ht="15.75" customHeight="1">
      <c r="A478" t="s">
        <v>14</v>
      </c>
      <c r="B478" t="s">
        <v>15</v>
      </c>
      <c r="C478" s="9">
        <v>46255.0</v>
      </c>
    </row>
    <row r="479" ht="15.75" customHeight="1">
      <c r="A479" s="6">
        <v>763.0</v>
      </c>
      <c r="B479" s="6">
        <v>2382.0</v>
      </c>
      <c r="M479" s="3"/>
    </row>
    <row r="480" ht="15.75" customHeight="1">
      <c r="A480" s="10">
        <v>23.9</v>
      </c>
      <c r="B480" s="11">
        <v>59.75</v>
      </c>
    </row>
    <row r="481" ht="15.75" customHeight="1">
      <c r="A481" s="11" t="str">
        <f>$A$441</f>
        <v> $ 23.48 </v>
      </c>
      <c r="B481" s="11" t="str">
        <f>$B$441</f>
        <v> $ 68.65 </v>
      </c>
      <c r="C481">
        <v>600.0</v>
      </c>
      <c r="D481" t="s">
        <v>0</v>
      </c>
      <c r="V481" s="3"/>
    </row>
    <row r="482" ht="15.75" customHeight="1">
      <c r="A482" s="6" t="str">
        <f>(A481-A480)*C481</f>
        <v>-252</v>
      </c>
      <c r="B482" s="11" t="str">
        <f>C482*(B480-B481)</f>
        <v>-$ 1,780.00 </v>
      </c>
      <c r="C482">
        <v>200.0</v>
      </c>
      <c r="D482" t="s">
        <v>16</v>
      </c>
      <c r="E482" s="11" t="str">
        <f>A482</f>
        <v>-$ 252.00 </v>
      </c>
      <c r="F482" s="11" t="str">
        <f>(B482+A482)</f>
        <v>-$ 2,032.00 </v>
      </c>
      <c r="G482" t="str">
        <f>IF(F482&gt;0, "TRADE","H")</f>
        <v>H</v>
      </c>
      <c r="V482" s="3"/>
    </row>
    <row r="483" ht="15.75" customHeight="1">
      <c r="A483" t="s">
        <v>14</v>
      </c>
      <c r="B483" t="s">
        <v>15</v>
      </c>
      <c r="C483" s="9">
        <v>46252.0</v>
      </c>
    </row>
    <row r="484" ht="15.75" customHeight="1">
      <c r="A484" s="6">
        <v>763.0</v>
      </c>
      <c r="B484" s="6">
        <v>2382.0</v>
      </c>
      <c r="M484" s="3"/>
    </row>
    <row r="485" ht="15.75" customHeight="1">
      <c r="A485" s="10">
        <v>25.52</v>
      </c>
      <c r="B485" s="11">
        <v>62.3</v>
      </c>
    </row>
    <row r="486" ht="15.75" customHeight="1">
      <c r="A486" s="11" t="str">
        <f>$A$441</f>
        <v> $ 23.48 </v>
      </c>
      <c r="B486" s="11" t="str">
        <f>$B$441</f>
        <v> $ 68.65 </v>
      </c>
      <c r="C486">
        <v>600.0</v>
      </c>
      <c r="D486" t="s">
        <v>0</v>
      </c>
      <c r="V486" s="3"/>
    </row>
    <row r="487" ht="15.75" customHeight="1">
      <c r="A487" s="6" t="str">
        <f>(A486-A485)*C486</f>
        <v>-1224</v>
      </c>
      <c r="B487" s="11" t="str">
        <f>C487*(B485-B486)</f>
        <v>-$ 1,270.00 </v>
      </c>
      <c r="C487">
        <v>200.0</v>
      </c>
      <c r="D487" t="s">
        <v>16</v>
      </c>
      <c r="E487" s="11" t="str">
        <f>A487</f>
        <v>-$ 1,224.00 </v>
      </c>
      <c r="F487" s="11" t="str">
        <f>(B487+A487)</f>
        <v>-$ 2,494.00 </v>
      </c>
      <c r="G487" t="str">
        <f>IF(F487&gt;0, "TRADE","H")</f>
        <v>H</v>
      </c>
      <c r="V487" s="3"/>
    </row>
    <row r="488" ht="15.75" customHeight="1">
      <c r="A488" t="s">
        <v>14</v>
      </c>
      <c r="B488" t="s">
        <v>15</v>
      </c>
      <c r="C488" s="9">
        <v>46252.0</v>
      </c>
    </row>
    <row r="489" ht="15.75" customHeight="1">
      <c r="A489" s="6">
        <v>763.0</v>
      </c>
      <c r="B489" s="6">
        <v>2382.0</v>
      </c>
      <c r="M489" s="3"/>
    </row>
    <row r="490" ht="15.75" customHeight="1">
      <c r="A490" s="10">
        <v>25.46</v>
      </c>
      <c r="B490" s="11">
        <v>60.65</v>
      </c>
    </row>
    <row r="491" ht="15.75" customHeight="1">
      <c r="A491" s="11" t="str">
        <f>$A$441</f>
        <v> $ 23.48 </v>
      </c>
      <c r="B491" s="11" t="str">
        <f>$B$441</f>
        <v> $ 68.65 </v>
      </c>
      <c r="C491">
        <v>600.0</v>
      </c>
      <c r="D491" t="s">
        <v>0</v>
      </c>
      <c r="V491" s="3"/>
    </row>
    <row r="492" ht="15.75" customHeight="1">
      <c r="A492" s="6" t="str">
        <f>(A491-A490)*C491</f>
        <v>-1188</v>
      </c>
      <c r="B492" s="11" t="str">
        <f>C492*(B490-B491)</f>
        <v>-$ 1,600.00 </v>
      </c>
      <c r="C492">
        <v>200.0</v>
      </c>
      <c r="D492" t="s">
        <v>16</v>
      </c>
      <c r="E492" s="11" t="str">
        <f>A492</f>
        <v>-$ 1,188.00 </v>
      </c>
      <c r="F492" s="11" t="str">
        <f>(B492+A492)</f>
        <v>-$ 2,788.00 </v>
      </c>
      <c r="G492" t="str">
        <f>IF(F492&gt;0, "TRADE","H")</f>
        <v>H</v>
      </c>
      <c r="V492" s="3"/>
    </row>
    <row r="493" ht="15.75" customHeight="1">
      <c r="A493" t="s">
        <v>14</v>
      </c>
      <c r="B493" t="s">
        <v>15</v>
      </c>
      <c r="C493" s="9">
        <v>46239.0</v>
      </c>
    </row>
    <row r="494" ht="15.75" customHeight="1">
      <c r="A494" s="6">
        <v>763.0</v>
      </c>
      <c r="B494" s="6">
        <v>2382.0</v>
      </c>
      <c r="M494" s="3"/>
    </row>
    <row r="495" ht="15.75" customHeight="1">
      <c r="A495" s="10">
        <v>25.54</v>
      </c>
      <c r="B495" s="11">
        <v>58.8</v>
      </c>
    </row>
    <row r="496" ht="15.75" customHeight="1">
      <c r="A496" s="11" t="str">
        <f>$A$441</f>
        <v> $ 23.48 </v>
      </c>
      <c r="B496" s="11" t="str">
        <f>$B$441</f>
        <v> $ 68.65 </v>
      </c>
      <c r="C496">
        <v>600.0</v>
      </c>
      <c r="D496" t="s">
        <v>0</v>
      </c>
      <c r="V496" s="3"/>
    </row>
    <row r="497" ht="15.75" customHeight="1">
      <c r="A497" s="6" t="str">
        <f>(A496-A495)*C496</f>
        <v>-1236</v>
      </c>
      <c r="B497" s="11" t="str">
        <f>C497*(B495-B496)</f>
        <v>-$ 1,970.00 </v>
      </c>
      <c r="C497">
        <v>200.0</v>
      </c>
      <c r="D497" t="s">
        <v>16</v>
      </c>
      <c r="E497" s="11" t="str">
        <f>A497</f>
        <v>-$ 1,236.00 </v>
      </c>
      <c r="F497" s="11" t="str">
        <f>(B497+A497)</f>
        <v>-$ 3,206.00 </v>
      </c>
      <c r="G497" t="str">
        <f>IF(F497&gt;0, "TRADE","H")</f>
        <v>H</v>
      </c>
      <c r="V497" s="3"/>
    </row>
    <row r="498" ht="15.75" customHeight="1">
      <c r="A498" t="s">
        <v>14</v>
      </c>
      <c r="B498" t="s">
        <v>15</v>
      </c>
      <c r="C498" s="9">
        <v>46220.0</v>
      </c>
    </row>
    <row r="499" ht="15.75" customHeight="1">
      <c r="A499" s="6">
        <v>763.0</v>
      </c>
      <c r="B499" s="6">
        <v>2382.0</v>
      </c>
      <c r="M499" s="3"/>
    </row>
    <row r="500" ht="15.75" customHeight="1">
      <c r="A500" s="10">
        <v>25.52</v>
      </c>
      <c r="B500" s="11">
        <v>56.5</v>
      </c>
    </row>
    <row r="501" ht="15.75" customHeight="1">
      <c r="A501" s="11" t="str">
        <f>$A$441</f>
        <v> $ 23.48 </v>
      </c>
      <c r="B501" s="11" t="str">
        <f>$B$441</f>
        <v> $ 68.65 </v>
      </c>
      <c r="C501">
        <v>600.0</v>
      </c>
      <c r="D501" t="s">
        <v>0</v>
      </c>
      <c r="V501" s="3"/>
    </row>
    <row r="502" ht="15.75" customHeight="1">
      <c r="A502" s="6" t="str">
        <f>(A501-A500)*C501</f>
        <v>-1224</v>
      </c>
      <c r="B502" s="11" t="str">
        <f>C502*(B500-B501)</f>
        <v>-$ 2,430.00 </v>
      </c>
      <c r="C502">
        <v>200.0</v>
      </c>
      <c r="D502" t="s">
        <v>16</v>
      </c>
      <c r="E502" s="11" t="str">
        <f>A502</f>
        <v>-$ 1,224.00 </v>
      </c>
      <c r="F502" s="11" t="str">
        <f>(B502+A502)</f>
        <v>-$ 3,654.00 </v>
      </c>
      <c r="G502" t="str">
        <f>IF(F502&gt;0, "TRADE","H")</f>
        <v>H</v>
      </c>
      <c r="V502" s="3"/>
    </row>
    <row r="503" ht="15.75" customHeight="1">
      <c r="A503" t="s">
        <v>14</v>
      </c>
      <c r="B503" t="s">
        <v>15</v>
      </c>
      <c r="C503" s="9">
        <v>46213.0</v>
      </c>
    </row>
    <row r="504" ht="15.75" customHeight="1">
      <c r="A504" s="6">
        <v>763.0</v>
      </c>
      <c r="B504" s="6">
        <v>2382.0</v>
      </c>
      <c r="M504" s="3"/>
    </row>
    <row r="505" ht="15.75" customHeight="1">
      <c r="A505" s="10">
        <v>25.84</v>
      </c>
      <c r="B505" s="11">
        <v>56.75</v>
      </c>
    </row>
    <row r="506" ht="15.75" customHeight="1">
      <c r="A506" s="11" t="str">
        <f>$A$441</f>
        <v> $ 23.48 </v>
      </c>
      <c r="B506" s="11" t="str">
        <f>$B$441</f>
        <v> $ 68.65 </v>
      </c>
      <c r="C506">
        <v>600.0</v>
      </c>
      <c r="D506" t="s">
        <v>0</v>
      </c>
      <c r="V506" s="3"/>
    </row>
    <row r="507" ht="15.75" customHeight="1">
      <c r="A507" s="6" t="str">
        <f>(A506-A505)*C506</f>
        <v>-1416</v>
      </c>
      <c r="B507" s="11" t="str">
        <f>C507*(B505-B506)</f>
        <v>-$ 2,380.00 </v>
      </c>
      <c r="C507">
        <v>200.0</v>
      </c>
      <c r="D507" t="s">
        <v>16</v>
      </c>
      <c r="E507" s="11" t="str">
        <f>A507</f>
        <v>-$ 1,416.00 </v>
      </c>
      <c r="F507" s="11" t="str">
        <f>(B507+A507)</f>
        <v>-$ 3,796.00 </v>
      </c>
      <c r="G507" t="str">
        <f>IF(F507&gt;0, "TRADE","H")</f>
        <v>H</v>
      </c>
      <c r="V507" s="3"/>
    </row>
    <row r="508" ht="15.75" customHeight="1">
      <c r="A508" t="s">
        <v>14</v>
      </c>
      <c r="B508" t="s">
        <v>15</v>
      </c>
      <c r="C508" s="9">
        <v>46035.0</v>
      </c>
    </row>
    <row r="509" ht="15.75" customHeight="1">
      <c r="A509" s="6">
        <v>763.0</v>
      </c>
      <c r="B509" s="6">
        <v>2382.0</v>
      </c>
      <c r="M509" s="3"/>
    </row>
    <row r="510" ht="15.75" customHeight="1">
      <c r="A510" s="10" t="str">
        <f>-0.47+30.42</f>
        <v>29.95</v>
      </c>
      <c r="B510" s="11" t="str">
        <f>-1.206+66.06</f>
        <v> $ 64.85 </v>
      </c>
    </row>
    <row r="511" ht="15.75" customHeight="1">
      <c r="A511" s="11" t="str">
        <f>$A$441</f>
        <v> $ 23.48 </v>
      </c>
      <c r="B511" s="11" t="str">
        <f>$B$441</f>
        <v> $ 68.65 </v>
      </c>
      <c r="C511">
        <v>600.0</v>
      </c>
      <c r="D511" t="s">
        <v>0</v>
      </c>
      <c r="V511" s="3"/>
    </row>
    <row r="512" ht="15.75" customHeight="1">
      <c r="A512" s="6" t="str">
        <f>(A511-A510)*C511</f>
        <v>-3882</v>
      </c>
      <c r="B512" s="11" t="str">
        <f>C512*(B510-B511)</f>
        <v>-$ 759.20 </v>
      </c>
      <c r="C512">
        <v>200.0</v>
      </c>
      <c r="D512" t="s">
        <v>16</v>
      </c>
      <c r="E512" s="11" t="str">
        <f>A512</f>
        <v>-$ 3,882.00 </v>
      </c>
      <c r="F512" s="11" t="str">
        <f>(B512+A512)</f>
        <v>-$ 4,641.20 </v>
      </c>
      <c r="G512" t="str">
        <f>IF(F512&gt;0, "TRADE","H")</f>
        <v>H</v>
      </c>
      <c r="V512" s="3"/>
    </row>
    <row r="513" ht="15.75" customHeight="1">
      <c r="A513" s="6" t="s">
        <v>14</v>
      </c>
      <c r="B513" s="6"/>
      <c r="C513" s="9">
        <v>46184.0</v>
      </c>
      <c r="F513" s="2"/>
      <c r="H513" s="2" t="str">
        <f t="shared" ref="H513:H514" si="11">(I513-K513)/K513-$D$371</f>
        <v>-2.69%</v>
      </c>
      <c r="I513" s="17">
        <v>394.0</v>
      </c>
      <c r="J513" s="18">
        <v>388.0</v>
      </c>
      <c r="K513">
        <v>417.77</v>
      </c>
      <c r="Q513" s="3"/>
    </row>
    <row r="514" ht="15.75" customHeight="1">
      <c r="A514" s="6">
        <v>388.0</v>
      </c>
      <c r="B514" s="6">
        <v>6030.0</v>
      </c>
      <c r="F514" s="2"/>
      <c r="H514" s="2" t="str">
        <f t="shared" si="11"/>
        <v>-3.66%</v>
      </c>
      <c r="I514" s="19">
        <v>25.54</v>
      </c>
      <c r="J514" s="20">
        <v>6030.0</v>
      </c>
      <c r="K514">
        <v>27.36</v>
      </c>
      <c r="O514" s="3"/>
    </row>
    <row r="515" ht="15.75" customHeight="1">
      <c r="A515" s="10">
        <v>381.2</v>
      </c>
      <c r="B515" s="6">
        <v>25.25</v>
      </c>
      <c r="F515" s="2"/>
      <c r="H515" s="2" t="str">
        <f>H513-H514</f>
        <v>0.96%</v>
      </c>
      <c r="U515" s="3"/>
    </row>
    <row r="516" ht="15.75" customHeight="1">
      <c r="A516" s="21" t="str">
        <f>hkex</f>
        <v> $ 394.00 </v>
      </c>
      <c r="B516" s="21" t="str">
        <f>I514</f>
        <v> $ 25.54 </v>
      </c>
      <c r="C516">
        <v>2000.0</v>
      </c>
      <c r="F516" s="2"/>
      <c r="H516" s="2"/>
      <c r="Y516" s="3"/>
    </row>
    <row r="517" ht="15.75" customHeight="1">
      <c r="A517" s="6"/>
      <c r="B517" s="6"/>
      <c r="C517">
        <v>100.0</v>
      </c>
      <c r="E517" s="11" t="str">
        <f>A517</f>
        <v/>
      </c>
      <c r="F517" s="6" t="str">
        <f>(B517+A517)</f>
        <v>0</v>
      </c>
      <c r="G517" t="str">
        <f>IF(F517&gt;0, "TRADE","H")</f>
        <v>H</v>
      </c>
      <c r="H517" s="2"/>
      <c r="Y517" s="3"/>
    </row>
    <row r="518" ht="15.75" customHeight="1">
      <c r="A518" s="6" t="s">
        <v>14</v>
      </c>
      <c r="B518" s="6"/>
      <c r="C518" s="9">
        <v>46273.0</v>
      </c>
      <c r="F518" s="2"/>
      <c r="Q518" s="3"/>
    </row>
    <row r="519" ht="15.75" customHeight="1">
      <c r="A519" s="6">
        <v>6030.0</v>
      </c>
      <c r="B519" s="6">
        <v>388.0</v>
      </c>
      <c r="F519" s="2"/>
      <c r="O519" s="3"/>
    </row>
    <row r="520" ht="15.75" customHeight="1">
      <c r="A520" s="10">
        <v>25.76</v>
      </c>
      <c r="B520" s="6">
        <v>402.2</v>
      </c>
      <c r="F520" s="2"/>
      <c r="U520" s="3"/>
    </row>
    <row r="521" ht="15.75" customHeight="1">
      <c r="A521" s="11" t="str">
        <f>$B$516</f>
        <v> $ 25.54 </v>
      </c>
      <c r="B521" s="11" t="str">
        <f>$A$516</f>
        <v> $ 394.00 </v>
      </c>
      <c r="C521">
        <v>100.0</v>
      </c>
      <c r="F521" s="2"/>
      <c r="H521" s="2"/>
      <c r="Y521" s="3"/>
    </row>
    <row r="522" ht="15.75" customHeight="1">
      <c r="A522" s="6" t="str">
        <f>(A521-A520)*C522</f>
        <v>-440</v>
      </c>
      <c r="B522" s="6" t="str">
        <f>(B520-B521)*C521</f>
        <v>820</v>
      </c>
      <c r="C522">
        <v>2000.0</v>
      </c>
      <c r="E522" s="11" t="str">
        <f>A522</f>
        <v>-$ 440.00 </v>
      </c>
      <c r="F522" s="6" t="str">
        <f>(B522+A522)</f>
        <v>380</v>
      </c>
      <c r="G522" t="str">
        <f>IF(F522&gt;0, "TRADE","H")</f>
        <v>TRADE</v>
      </c>
      <c r="H522" s="2"/>
      <c r="Y522" s="3"/>
    </row>
    <row r="523" ht="15.75" customHeight="1">
      <c r="A523" s="6" t="s">
        <v>14</v>
      </c>
      <c r="B523" s="6"/>
      <c r="C523" s="9">
        <v>46211.0</v>
      </c>
      <c r="F523" s="2"/>
      <c r="Q523" s="3"/>
    </row>
    <row r="524" ht="15.75" customHeight="1">
      <c r="A524" s="6">
        <v>6030.0</v>
      </c>
      <c r="B524" s="6">
        <v>388.0</v>
      </c>
      <c r="F524" s="2"/>
      <c r="O524" s="3"/>
    </row>
    <row r="525" ht="15.75" customHeight="1">
      <c r="A525" s="10">
        <v>27.58</v>
      </c>
      <c r="B525" s="6" t="str">
        <f>-7.43+381.4</f>
        <v>373.97</v>
      </c>
      <c r="F525" s="2"/>
      <c r="U525" s="3"/>
    </row>
    <row r="526" ht="15.75" customHeight="1">
      <c r="A526" s="11" t="str">
        <f>$B$516</f>
        <v> $ 25.54 </v>
      </c>
      <c r="B526" s="11" t="str">
        <f>$A$516</f>
        <v> $ 394.00 </v>
      </c>
      <c r="C526">
        <v>100.0</v>
      </c>
      <c r="F526" s="2"/>
      <c r="H526" s="2"/>
      <c r="Y526" s="3"/>
    </row>
    <row r="527" ht="15.75" customHeight="1">
      <c r="A527" s="6" t="str">
        <f>(A526-A525)*C527</f>
        <v>-4080</v>
      </c>
      <c r="B527" s="6" t="str">
        <f>(B525-B526)*C526</f>
        <v>-2003</v>
      </c>
      <c r="C527">
        <v>2000.0</v>
      </c>
      <c r="E527" s="11" t="str">
        <f>A527</f>
        <v>-$ 4,080.00 </v>
      </c>
      <c r="F527" s="6" t="str">
        <f>(B527+A527)</f>
        <v>-6083</v>
      </c>
      <c r="G527" t="str">
        <f>IF(F527&gt;0, "TRADE","H")</f>
        <v>H</v>
      </c>
      <c r="H527" s="2"/>
      <c r="Y527" s="3"/>
    </row>
    <row r="528" ht="15.75" customHeight="1">
      <c r="A528" s="12" t="s">
        <v>29</v>
      </c>
      <c r="B528" s="12" t="s">
        <v>30</v>
      </c>
      <c r="C528" s="9">
        <v>46142.0</v>
      </c>
      <c r="H528" s="2" t="str">
        <f t="shared" ref="H528:H529" si="12">(I528-K528)/K528-$D$371</f>
        <v>-3.43%</v>
      </c>
      <c r="I528" s="19">
        <v>81.6</v>
      </c>
      <c r="J528" s="20">
        <v>1211.0</v>
      </c>
      <c r="K528">
        <v>87.2</v>
      </c>
      <c r="L528" s="3"/>
    </row>
    <row r="529" ht="15.75" customHeight="1">
      <c r="A529" s="6">
        <v>1211.0</v>
      </c>
      <c r="B529" s="6" t="s">
        <v>20</v>
      </c>
      <c r="H529" s="2" t="str">
        <f t="shared" si="12"/>
        <v>-1.47%</v>
      </c>
      <c r="I529" s="19">
        <v>91.9</v>
      </c>
      <c r="J529" s="20" t="s">
        <v>20</v>
      </c>
      <c r="K529">
        <v>96.2</v>
      </c>
      <c r="L529" s="3"/>
      <c r="N529" s="3"/>
    </row>
    <row r="530" ht="15.75" customHeight="1">
      <c r="A530" s="6" t="str">
        <f>-0.41+102.9</f>
        <v>102.49</v>
      </c>
      <c r="B530" s="6">
        <v>118.9</v>
      </c>
    </row>
    <row r="531" ht="15.75" customHeight="1">
      <c r="A531" s="21" t="str">
        <f>byd</f>
        <v> $ 81.60 </v>
      </c>
      <c r="B531" s="21" t="str">
        <f>I529</f>
        <v> $ 91.90 </v>
      </c>
      <c r="C531">
        <v>300.0</v>
      </c>
      <c r="D531" t="s">
        <v>0</v>
      </c>
      <c r="E531" s="13"/>
      <c r="H531" s="2"/>
      <c r="Z531" s="3"/>
    </row>
    <row r="532" ht="15.75" customHeight="1">
      <c r="A532" s="11"/>
      <c r="B532" s="11"/>
      <c r="C532">
        <v>300.0</v>
      </c>
      <c r="D532" t="s">
        <v>16</v>
      </c>
      <c r="E532" s="11" t="str">
        <f>A532</f>
        <v/>
      </c>
      <c r="F532" s="11" t="str">
        <f>(B532+A532)</f>
        <v> $ -   </v>
      </c>
      <c r="G532" t="str">
        <f>IF(F532&gt;0, "TRADE","H")</f>
        <v>H</v>
      </c>
      <c r="H532" s="2"/>
      <c r="Z532" s="3"/>
    </row>
    <row r="533" ht="15.75" customHeight="1">
      <c r="A533" s="12" t="s">
        <v>31</v>
      </c>
      <c r="B533" s="12" t="s">
        <v>32</v>
      </c>
      <c r="C533" s="9">
        <v>46244.0</v>
      </c>
      <c r="H533" s="6"/>
      <c r="I533" s="6"/>
      <c r="J533" s="6"/>
      <c r="K533" s="6"/>
      <c r="L533" s="3"/>
    </row>
    <row r="534" ht="15.75" customHeight="1">
      <c r="A534" s="6" t="s">
        <v>20</v>
      </c>
      <c r="B534" s="6">
        <v>1211.0</v>
      </c>
      <c r="L534" s="3"/>
      <c r="N534" s="3"/>
    </row>
    <row r="535" ht="15.75" customHeight="1">
      <c r="A535" s="6">
        <v>106.1</v>
      </c>
      <c r="B535" s="6">
        <v>92.4</v>
      </c>
    </row>
    <row r="536" ht="15.75" customHeight="1">
      <c r="A536" s="11" t="str">
        <f>$B$531</f>
        <v> $ 91.90 </v>
      </c>
      <c r="B536" s="11" t="str">
        <f>$A$531</f>
        <v> $ 81.60 </v>
      </c>
      <c r="C536">
        <v>300.0</v>
      </c>
      <c r="D536" t="s">
        <v>0</v>
      </c>
      <c r="E536" s="13"/>
      <c r="H536" s="2"/>
      <c r="Z536" s="3"/>
    </row>
    <row r="537" ht="15.75" customHeight="1">
      <c r="A537" s="11" t="str">
        <f>C537*(A536-A535)</f>
        <v>-$ 4,260.00 </v>
      </c>
      <c r="B537" s="11" t="str">
        <f>C536*(B535-B536)</f>
        <v> $ 3,240.00 </v>
      </c>
      <c r="C537">
        <v>300.0</v>
      </c>
      <c r="D537" t="s">
        <v>16</v>
      </c>
      <c r="E537" s="11" t="str">
        <f>A537</f>
        <v>-$ 4,260.00 </v>
      </c>
      <c r="F537" s="11" t="str">
        <f>(B537+A537)</f>
        <v>-$ 1,020.00 </v>
      </c>
      <c r="G537" t="str">
        <f>IF(F537&gt;0, "TRADE","H")</f>
        <v>H</v>
      </c>
      <c r="H537" s="2"/>
      <c r="Z537" s="3"/>
    </row>
    <row r="538" ht="15.75" customHeight="1">
      <c r="A538" s="12" t="s">
        <v>33</v>
      </c>
      <c r="B538" s="12" t="s">
        <v>34</v>
      </c>
      <c r="C538" s="9">
        <v>46261.0</v>
      </c>
      <c r="H538" s="6"/>
      <c r="I538" s="6"/>
      <c r="J538" s="6"/>
      <c r="K538" s="6"/>
      <c r="L538" s="3"/>
    </row>
    <row r="539" ht="15.75" customHeight="1">
      <c r="A539" s="6">
        <v>1211.0</v>
      </c>
      <c r="B539" s="6" t="s">
        <v>20</v>
      </c>
      <c r="L539" s="3"/>
      <c r="N539" s="3"/>
    </row>
    <row r="540" ht="15.75" customHeight="1">
      <c r="A540" s="6">
        <v>85.55</v>
      </c>
      <c r="B540" s="6">
        <v>91.35</v>
      </c>
    </row>
    <row r="541" ht="15.75" customHeight="1">
      <c r="A541" s="11" t="str">
        <f>$A$531</f>
        <v> $ 81.60 </v>
      </c>
      <c r="B541" s="11" t="str">
        <f>$B$531</f>
        <v> $ 91.90 </v>
      </c>
      <c r="C541">
        <v>300.0</v>
      </c>
      <c r="D541" t="s">
        <v>0</v>
      </c>
      <c r="E541" s="13"/>
      <c r="H541" s="2"/>
      <c r="Z541" s="3"/>
    </row>
    <row r="542" ht="15.75" customHeight="1">
      <c r="A542" s="11" t="str">
        <f>C542*(A541-A540)</f>
        <v>-$ 1,185.00 </v>
      </c>
      <c r="B542" s="11" t="str">
        <f>C541*(B540-B541)</f>
        <v>-$ 165.00 </v>
      </c>
      <c r="C542">
        <v>300.0</v>
      </c>
      <c r="D542" t="s">
        <v>16</v>
      </c>
      <c r="E542" s="11" t="str">
        <f>A542</f>
        <v>-$ 1,185.00 </v>
      </c>
      <c r="F542" s="11" t="str">
        <f>(B542+A542)</f>
        <v>-$ 1,350.00 </v>
      </c>
      <c r="G542" t="str">
        <f>IF(F542&gt;0, "TRADE","H")</f>
        <v>H</v>
      </c>
      <c r="H542" s="2"/>
      <c r="Z542" s="3"/>
    </row>
    <row r="543" ht="15.75" customHeight="1">
      <c r="A543" s="12" t="s">
        <v>35</v>
      </c>
      <c r="B543" s="12" t="s">
        <v>36</v>
      </c>
      <c r="C543" s="9">
        <v>46261.0</v>
      </c>
      <c r="H543" s="6"/>
      <c r="I543" s="6"/>
      <c r="J543" s="6"/>
      <c r="K543" s="6"/>
      <c r="L543" s="3"/>
    </row>
    <row r="544" ht="15.75" customHeight="1">
      <c r="A544" s="6">
        <v>1211.0</v>
      </c>
      <c r="B544" s="6" t="s">
        <v>20</v>
      </c>
      <c r="L544" s="3"/>
      <c r="N544" s="3"/>
    </row>
    <row r="545" ht="15.75" customHeight="1">
      <c r="A545" s="6">
        <v>92.25</v>
      </c>
      <c r="B545" s="6">
        <v>94.65</v>
      </c>
    </row>
    <row r="546" ht="15.75" customHeight="1">
      <c r="A546" s="11" t="str">
        <f>$A$531</f>
        <v> $ 81.60 </v>
      </c>
      <c r="B546" s="11" t="str">
        <f>$B$531</f>
        <v> $ 91.90 </v>
      </c>
      <c r="C546">
        <v>300.0</v>
      </c>
      <c r="D546" t="s">
        <v>0</v>
      </c>
      <c r="E546" s="13"/>
      <c r="H546" s="2"/>
      <c r="Z546" s="3"/>
    </row>
    <row r="547" ht="15.75" customHeight="1">
      <c r="A547" s="11" t="str">
        <f>C547*(A546-A545)</f>
        <v>-$ 3,195.00 </v>
      </c>
      <c r="B547" s="11" t="str">
        <f>C546*(B545-B546)</f>
        <v> $ 825.00 </v>
      </c>
      <c r="C547">
        <v>300.0</v>
      </c>
      <c r="D547" t="s">
        <v>16</v>
      </c>
      <c r="E547" s="11" t="str">
        <f>A547</f>
        <v>-$ 3,195.00 </v>
      </c>
      <c r="F547" s="11" t="str">
        <f>(B547+A547)</f>
        <v>-$ 2,370.00 </v>
      </c>
      <c r="G547" t="str">
        <f>IF(F547&gt;0, "TRADE","H")</f>
        <v>H</v>
      </c>
      <c r="H547" s="2"/>
      <c r="Z547" s="3"/>
    </row>
    <row r="548" ht="15.75" customHeight="1">
      <c r="A548" s="23" t="s">
        <v>37</v>
      </c>
      <c r="B548" s="23" t="s">
        <v>38</v>
      </c>
      <c r="C548" s="24">
        <v>46217.0</v>
      </c>
      <c r="D548" s="23"/>
      <c r="E548" s="23"/>
      <c r="F548" s="23"/>
      <c r="G548" s="23"/>
      <c r="H548" s="7"/>
      <c r="I548" s="7"/>
      <c r="J548" s="7"/>
      <c r="K548" s="7"/>
      <c r="L548" s="25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 ht="15.75" customHeight="1">
      <c r="A549" s="7" t="s">
        <v>20</v>
      </c>
      <c r="B549" s="7">
        <v>1211.0</v>
      </c>
      <c r="C549" s="23"/>
      <c r="D549" s="23"/>
      <c r="E549" s="23"/>
      <c r="F549" s="23"/>
      <c r="G549" s="23"/>
      <c r="H549" s="23"/>
      <c r="I549" s="23"/>
      <c r="J549" s="23"/>
      <c r="K549" s="23"/>
      <c r="L549" s="25"/>
      <c r="M549" s="23"/>
      <c r="N549" s="25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 ht="15.75" customHeight="1">
      <c r="A550" s="7">
        <v>104.7</v>
      </c>
      <c r="B550" s="7">
        <v>84.65</v>
      </c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 ht="15.75" customHeight="1">
      <c r="A551" s="26" t="str">
        <f>$B$531</f>
        <v> $ 91.90 </v>
      </c>
      <c r="B551" s="26" t="str">
        <f>$A$531</f>
        <v> $ 81.60 </v>
      </c>
      <c r="C551" s="23">
        <v>300.0</v>
      </c>
      <c r="D551" s="23" t="s">
        <v>0</v>
      </c>
      <c r="E551" s="27"/>
      <c r="F551" s="23"/>
      <c r="G551" s="23"/>
      <c r="H551" s="28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5"/>
    </row>
    <row r="552" ht="15.75" customHeight="1">
      <c r="A552" s="26" t="str">
        <f>C552*(A551-A550)</f>
        <v>-$ 3,840.00 </v>
      </c>
      <c r="B552" s="26" t="str">
        <f>C551*(B550-B551)</f>
        <v> $ 915.00 </v>
      </c>
      <c r="C552" s="23">
        <v>300.0</v>
      </c>
      <c r="D552" s="23" t="s">
        <v>16</v>
      </c>
      <c r="E552" s="26" t="str">
        <f>A552</f>
        <v>-$ 3,840.00 </v>
      </c>
      <c r="F552" s="26" t="str">
        <f>(B552+A552)</f>
        <v>-$ 2,925.00 </v>
      </c>
      <c r="G552" s="23" t="str">
        <f>IF(F552&gt;0, "TRADE","H")</f>
        <v>H</v>
      </c>
      <c r="H552" s="28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5"/>
    </row>
    <row r="553" ht="15.75" customHeight="1">
      <c r="A553" s="23" t="s">
        <v>39</v>
      </c>
      <c r="B553" s="23" t="s">
        <v>40</v>
      </c>
      <c r="C553" s="24">
        <v>46217.0</v>
      </c>
      <c r="D553" s="23"/>
      <c r="E553" s="23"/>
      <c r="F553" s="23"/>
      <c r="G553" s="23"/>
      <c r="H553" s="7"/>
      <c r="I553" s="7"/>
      <c r="J553" s="7"/>
      <c r="K553" s="7"/>
      <c r="L553" s="25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 ht="15.75" customHeight="1">
      <c r="A554" s="7" t="s">
        <v>20</v>
      </c>
      <c r="B554" s="7">
        <v>1211.0</v>
      </c>
      <c r="C554" s="23"/>
      <c r="D554" s="23"/>
      <c r="E554" s="23"/>
      <c r="F554" s="23"/>
      <c r="G554" s="23"/>
      <c r="H554" s="23"/>
      <c r="I554" s="23"/>
      <c r="J554" s="23"/>
      <c r="K554" s="23"/>
      <c r="L554" s="25"/>
      <c r="M554" s="23"/>
      <c r="N554" s="25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 ht="15.75" customHeight="1">
      <c r="A555" s="7">
        <v>109.1</v>
      </c>
      <c r="B555" s="7">
        <v>83.6</v>
      </c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 ht="15.75" customHeight="1">
      <c r="A556" s="26" t="str">
        <f>$B$531</f>
        <v> $ 91.90 </v>
      </c>
      <c r="B556" s="26" t="str">
        <f>$A$531</f>
        <v> $ 81.60 </v>
      </c>
      <c r="C556" s="23">
        <v>300.0</v>
      </c>
      <c r="D556" s="23" t="s">
        <v>0</v>
      </c>
      <c r="E556" s="27"/>
      <c r="F556" s="23"/>
      <c r="G556" s="23"/>
      <c r="H556" s="28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5"/>
    </row>
    <row r="557" ht="15.75" customHeight="1">
      <c r="A557" s="26" t="str">
        <f>C557*(A556-A555)</f>
        <v>-$ 5,160.00 </v>
      </c>
      <c r="B557" s="26" t="str">
        <f>C556*(B555-B556)</f>
        <v> $ 600.00 </v>
      </c>
      <c r="C557" s="23">
        <v>300.0</v>
      </c>
      <c r="D557" s="23" t="s">
        <v>16</v>
      </c>
      <c r="E557" s="26" t="str">
        <f>A557</f>
        <v>-$ 5,160.00 </v>
      </c>
      <c r="F557" s="26" t="str">
        <f>(B557+A557)</f>
        <v>-$ 4,560.00 </v>
      </c>
      <c r="G557" s="23" t="str">
        <f>IF(F557&gt;0, "TRADE","H")</f>
        <v>H</v>
      </c>
      <c r="H557" s="28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5"/>
    </row>
    <row r="558" ht="15.75" customHeight="1">
      <c r="A558" t="s">
        <v>14</v>
      </c>
      <c r="B558" t="s">
        <v>15</v>
      </c>
      <c r="C558" s="9">
        <v>45944.0</v>
      </c>
      <c r="H558" s="2" t="str">
        <f t="shared" ref="H558:H559" si="13">(I558-K558)/K558-$D$371</f>
        <v>-2.36%</v>
      </c>
      <c r="I558" s="17">
        <v>16.09</v>
      </c>
      <c r="J558" s="18">
        <v>6680.0</v>
      </c>
      <c r="K558">
        <v>17.0</v>
      </c>
    </row>
    <row r="559" ht="15.75" customHeight="1">
      <c r="A559" s="6">
        <v>6680.0</v>
      </c>
      <c r="B559" s="6">
        <v>1211.0</v>
      </c>
      <c r="H559" s="2" t="str">
        <f t="shared" si="13"/>
        <v>-3.66%</v>
      </c>
      <c r="I559" s="19">
        <v>81.4</v>
      </c>
      <c r="J559" s="20">
        <v>1211.0</v>
      </c>
      <c r="K559">
        <v>87.2</v>
      </c>
      <c r="M559" s="3"/>
    </row>
    <row r="560" ht="15.75" customHeight="1">
      <c r="A560" s="10" t="str">
        <f>-0.2511-0.197+26.42</f>
        <v>25.9719</v>
      </c>
      <c r="B560" s="11" t="str">
        <f>-0.41+106.4</f>
        <v> $ 105.99 </v>
      </c>
      <c r="H560" s="2" t="str">
        <f>H558-H559</f>
        <v>1.30%</v>
      </c>
    </row>
    <row r="561" ht="15.75" customHeight="1">
      <c r="A561" s="21" t="str">
        <f>I558</f>
        <v> $ 16.09 </v>
      </c>
      <c r="B561" s="21" t="str">
        <f>I559</f>
        <v> $ 81.40 </v>
      </c>
      <c r="C561">
        <v>800.0</v>
      </c>
      <c r="D561" t="s">
        <v>0</v>
      </c>
      <c r="V561" s="3"/>
    </row>
    <row r="562" ht="15.75" customHeight="1">
      <c r="A562" s="6"/>
      <c r="B562" s="11"/>
      <c r="C562">
        <v>200.0</v>
      </c>
      <c r="D562" t="s">
        <v>16</v>
      </c>
      <c r="E562" s="11" t="str">
        <f>A562</f>
        <v/>
      </c>
      <c r="F562" s="11" t="str">
        <f>(B562+A562)</f>
        <v> $ -   </v>
      </c>
      <c r="G562" t="str">
        <f>IF(F562&gt;0, "TRADE","H")</f>
        <v>H</v>
      </c>
      <c r="V562" s="3"/>
    </row>
    <row r="563" ht="15.75" customHeight="1">
      <c r="A563" t="s">
        <v>14</v>
      </c>
      <c r="B563" t="s">
        <v>15</v>
      </c>
      <c r="C563" s="9">
        <v>45944.0</v>
      </c>
    </row>
    <row r="564" ht="15.75" customHeight="1">
      <c r="A564" s="6">
        <v>6680.0</v>
      </c>
      <c r="B564" s="6">
        <v>1211.0</v>
      </c>
      <c r="M564" s="3"/>
    </row>
    <row r="565" ht="15.75" customHeight="1">
      <c r="A565" s="10" t="str">
        <f>-0.2511-0.197+26.42</f>
        <v>25.9719</v>
      </c>
      <c r="B565" s="11" t="str">
        <f>-0.41+106.4</f>
        <v> $ 105.99 </v>
      </c>
    </row>
    <row r="566" ht="15.75" customHeight="1">
      <c r="A566" s="11" t="str">
        <f>$A$561</f>
        <v> $ 16.09 </v>
      </c>
      <c r="B566" s="11" t="str">
        <f>$B$561</f>
        <v> $ 81.40 </v>
      </c>
      <c r="C566" s="12">
        <v>800.0</v>
      </c>
      <c r="D566" t="s">
        <v>0</v>
      </c>
      <c r="V566" s="3"/>
    </row>
    <row r="567" ht="15.75" customHeight="1">
      <c r="A567" s="6" t="str">
        <f>(A566-A565)*C566</f>
        <v>-7905.52</v>
      </c>
      <c r="B567" s="11" t="str">
        <f>C567*(B565-B566)</f>
        <v> $ 4,918.00 </v>
      </c>
      <c r="C567" s="12">
        <v>200.0</v>
      </c>
      <c r="D567" t="s">
        <v>16</v>
      </c>
      <c r="E567" s="11" t="str">
        <f>A567</f>
        <v>-$ 7,905.52 </v>
      </c>
      <c r="F567" s="11" t="str">
        <f>(B567+A567)</f>
        <v>-$ 2,987.52 </v>
      </c>
      <c r="G567" t="str">
        <f>IF(F567&gt;0, "TRADE","H")</f>
        <v>H</v>
      </c>
      <c r="V567" s="3"/>
    </row>
    <row r="568" ht="15.75" customHeight="1">
      <c r="A568" t="s">
        <v>14</v>
      </c>
      <c r="B568" t="s">
        <v>15</v>
      </c>
      <c r="C568" s="9">
        <v>46206.0</v>
      </c>
    </row>
    <row r="569" ht="15.75" customHeight="1">
      <c r="A569" s="6">
        <v>6680.0</v>
      </c>
      <c r="B569" s="6">
        <v>1211.0</v>
      </c>
      <c r="M569" s="3"/>
    </row>
    <row r="570" ht="15.75" customHeight="1">
      <c r="A570" s="10">
        <v>18.75</v>
      </c>
      <c r="B570" s="11">
        <v>81.6</v>
      </c>
    </row>
    <row r="571" ht="15.75" customHeight="1">
      <c r="A571" s="11" t="str">
        <f>$A$561</f>
        <v> $ 16.09 </v>
      </c>
      <c r="B571" s="11" t="str">
        <f>$B$561</f>
        <v> $ 81.40 </v>
      </c>
      <c r="C571" s="12">
        <v>800.0</v>
      </c>
      <c r="D571" t="s">
        <v>0</v>
      </c>
      <c r="V571" s="3"/>
    </row>
    <row r="572" ht="15.75" customHeight="1">
      <c r="A572" s="6" t="str">
        <f>(A571-A570)*C571</f>
        <v>-2128</v>
      </c>
      <c r="B572" s="11" t="str">
        <f>C572*(B570-B571)</f>
        <v> $ 40.00 </v>
      </c>
      <c r="C572" s="12">
        <v>200.0</v>
      </c>
      <c r="D572" t="s">
        <v>16</v>
      </c>
      <c r="E572" s="11" t="str">
        <f>A572</f>
        <v>-$ 2,128.00 </v>
      </c>
      <c r="F572" s="11" t="str">
        <f>(B572+A572)</f>
        <v>-$ 2,088.00 </v>
      </c>
      <c r="G572" t="str">
        <f>IF(F572&gt;0, "TRADE","H")</f>
        <v>H</v>
      </c>
      <c r="V572" s="3"/>
    </row>
    <row r="573" ht="15.75" customHeight="1">
      <c r="A573" t="s">
        <v>14</v>
      </c>
      <c r="B573" t="s">
        <v>15</v>
      </c>
      <c r="C573" s="9">
        <v>46212.0</v>
      </c>
    </row>
    <row r="574" ht="15.75" customHeight="1">
      <c r="A574" s="6">
        <v>6680.0</v>
      </c>
      <c r="B574" s="6">
        <v>1211.0</v>
      </c>
      <c r="M574" s="3"/>
    </row>
    <row r="575" ht="15.75" customHeight="1">
      <c r="A575" s="10">
        <v>17.96</v>
      </c>
      <c r="B575" s="11">
        <v>84.45</v>
      </c>
    </row>
    <row r="576" ht="15.75" customHeight="1">
      <c r="A576" s="11" t="str">
        <f>$A$561</f>
        <v> $ 16.09 </v>
      </c>
      <c r="B576" s="11" t="str">
        <f>$B$561</f>
        <v> $ 81.40 </v>
      </c>
      <c r="C576" s="29">
        <v>1200.0</v>
      </c>
      <c r="D576" t="s">
        <v>0</v>
      </c>
      <c r="V576" s="3"/>
    </row>
    <row r="577" ht="15.75" customHeight="1">
      <c r="A577" s="6" t="str">
        <f>(A576-A575)*C576</f>
        <v>-2244</v>
      </c>
      <c r="B577" s="11" t="str">
        <f>C577*(B575-B576)</f>
        <v> $ 915.00 </v>
      </c>
      <c r="C577" s="29">
        <v>300.0</v>
      </c>
      <c r="D577" t="s">
        <v>16</v>
      </c>
      <c r="E577" s="11" t="str">
        <f>A577</f>
        <v>-$ 2,244.00 </v>
      </c>
      <c r="F577" s="11" t="str">
        <f>(B577+A577)</f>
        <v>-$ 1,329.00 </v>
      </c>
      <c r="G577" t="str">
        <f>IF(F577&gt;0, "TRADE","H")</f>
        <v>H</v>
      </c>
      <c r="V577" s="3"/>
    </row>
    <row r="578" ht="15.75" customHeight="1">
      <c r="A578" t="s">
        <v>14</v>
      </c>
      <c r="B578" t="s">
        <v>15</v>
      </c>
      <c r="C578" s="9">
        <v>46213.0</v>
      </c>
    </row>
    <row r="579" ht="15.75" customHeight="1">
      <c r="A579" s="6">
        <v>6680.0</v>
      </c>
      <c r="B579" s="6">
        <v>1211.0</v>
      </c>
      <c r="M579" s="3"/>
    </row>
    <row r="580" ht="15.75" customHeight="1">
      <c r="A580" s="10">
        <v>17.86</v>
      </c>
      <c r="B580" s="11">
        <v>84.95</v>
      </c>
    </row>
    <row r="581" ht="15.75" customHeight="1">
      <c r="A581" s="11" t="str">
        <f>$A$561</f>
        <v> $ 16.09 </v>
      </c>
      <c r="B581" s="11" t="str">
        <f>$B$561</f>
        <v> $ 81.40 </v>
      </c>
      <c r="C581" s="29">
        <v>1200.0</v>
      </c>
      <c r="D581" t="s">
        <v>0</v>
      </c>
      <c r="V581" s="3"/>
    </row>
    <row r="582" ht="15.75" customHeight="1">
      <c r="A582" s="6" t="str">
        <f>(A581-A580)*C581</f>
        <v>-2124</v>
      </c>
      <c r="B582" s="11" t="str">
        <f>C582*(B580-B581)</f>
        <v> $ 1,065.00 </v>
      </c>
      <c r="C582" s="29">
        <v>300.0</v>
      </c>
      <c r="D582" t="s">
        <v>16</v>
      </c>
      <c r="E582" s="11" t="str">
        <f>A582</f>
        <v>-$ 2,124.00 </v>
      </c>
      <c r="F582" s="11" t="str">
        <f>(B582+A582)</f>
        <v>-$ 1,059.00 </v>
      </c>
      <c r="G582" t="str">
        <f>IF(F582&gt;0, "TRADE","H")</f>
        <v>H</v>
      </c>
      <c r="V582" s="3"/>
    </row>
    <row r="583" ht="15.75" customHeight="1">
      <c r="A583" t="s">
        <v>14</v>
      </c>
      <c r="B583" t="s">
        <v>15</v>
      </c>
      <c r="C583" s="9">
        <v>46213.0</v>
      </c>
    </row>
    <row r="584" ht="15.75" customHeight="1">
      <c r="A584" s="6">
        <v>6680.0</v>
      </c>
      <c r="B584" s="6">
        <v>1211.0</v>
      </c>
      <c r="M584" s="3"/>
    </row>
    <row r="585" ht="15.75" customHeight="1">
      <c r="A585" s="10">
        <v>17.47</v>
      </c>
      <c r="B585" s="11">
        <v>85.65</v>
      </c>
    </row>
    <row r="586" ht="15.75" customHeight="1">
      <c r="A586" s="11" t="str">
        <f>$A$561</f>
        <v> $ 16.09 </v>
      </c>
      <c r="B586" s="11" t="str">
        <f>$B$561</f>
        <v> $ 81.40 </v>
      </c>
      <c r="C586" s="12">
        <v>800.0</v>
      </c>
      <c r="D586" t="s">
        <v>0</v>
      </c>
      <c r="V586" s="3"/>
    </row>
    <row r="587" ht="15.75" customHeight="1">
      <c r="A587" s="6" t="str">
        <f>(A586-A585)*C586</f>
        <v>-1104</v>
      </c>
      <c r="B587" s="11" t="str">
        <f>C587*(B585-B586)</f>
        <v> $ 850.00 </v>
      </c>
      <c r="C587" s="12">
        <v>200.0</v>
      </c>
      <c r="D587" t="s">
        <v>16</v>
      </c>
      <c r="E587" s="11" t="str">
        <f>A587</f>
        <v>-$ 1,104.00 </v>
      </c>
      <c r="F587" s="11" t="str">
        <f>(B587+A587)</f>
        <v>-$ 254.00 </v>
      </c>
      <c r="G587" t="str">
        <f>IF(F587&gt;0, "TRADE","H")</f>
        <v>H</v>
      </c>
      <c r="V587" s="3"/>
    </row>
    <row r="588" ht="15.75" customHeight="1">
      <c r="A588" t="s">
        <v>14</v>
      </c>
      <c r="B588" t="s">
        <v>15</v>
      </c>
      <c r="C588" s="9">
        <v>46287.0</v>
      </c>
    </row>
    <row r="589" ht="15.75" customHeight="1">
      <c r="A589" s="6">
        <v>6680.0</v>
      </c>
      <c r="B589" s="6">
        <v>1211.0</v>
      </c>
      <c r="M589" s="3"/>
    </row>
    <row r="590" ht="15.75" customHeight="1">
      <c r="A590" s="10">
        <v>16.09</v>
      </c>
      <c r="B590" s="11">
        <v>81.4</v>
      </c>
    </row>
    <row r="591" ht="15.75" customHeight="1">
      <c r="A591" s="11" t="str">
        <f>$A$561</f>
        <v> $ 16.09 </v>
      </c>
      <c r="B591" s="11" t="str">
        <f>$B$561</f>
        <v> $ 81.40 </v>
      </c>
      <c r="C591" s="12">
        <v>800.0</v>
      </c>
      <c r="D591" t="s">
        <v>0</v>
      </c>
      <c r="V591" s="3"/>
    </row>
    <row r="592" ht="15.75" customHeight="1">
      <c r="A592" s="6" t="str">
        <f>(A591-A590)*C591</f>
        <v>0</v>
      </c>
      <c r="B592" s="11" t="str">
        <f>C592*(B590-B591)</f>
        <v> $ -   </v>
      </c>
      <c r="C592" s="12">
        <v>200.0</v>
      </c>
      <c r="D592" t="s">
        <v>16</v>
      </c>
      <c r="E592" s="11" t="str">
        <f>A592</f>
        <v> $ -   </v>
      </c>
      <c r="F592" s="11" t="str">
        <f>(B592+A592)</f>
        <v> $ -   </v>
      </c>
      <c r="G592" t="str">
        <f>IF(F592&gt;0, "TRADE","H")</f>
        <v>H</v>
      </c>
      <c r="V592" s="3"/>
    </row>
    <row r="593" ht="15.75" customHeight="1">
      <c r="A593" t="s">
        <v>14</v>
      </c>
      <c r="B593" t="s">
        <v>15</v>
      </c>
      <c r="C593" s="9">
        <v>46286.0</v>
      </c>
    </row>
    <row r="594" ht="15.75" customHeight="1">
      <c r="A594" s="6">
        <v>1211.0</v>
      </c>
      <c r="B594" s="6">
        <v>6680.0</v>
      </c>
      <c r="M594" s="3"/>
    </row>
    <row r="595" ht="15.75" customHeight="1">
      <c r="A595" s="10">
        <v>81.2</v>
      </c>
      <c r="B595" s="11">
        <v>15.96</v>
      </c>
    </row>
    <row r="596" ht="15.75" customHeight="1">
      <c r="A596" s="11" t="str">
        <f>$B$561</f>
        <v> $ 81.40 </v>
      </c>
      <c r="B596" s="11" t="str">
        <f>$A$561</f>
        <v> $ 16.09 </v>
      </c>
      <c r="C596" s="12">
        <v>200.0</v>
      </c>
      <c r="D596" t="s">
        <v>0</v>
      </c>
      <c r="V596" s="3"/>
    </row>
    <row r="597" ht="15.75" customHeight="1">
      <c r="A597" s="6" t="str">
        <f>(A596-A595)*C596</f>
        <v>40</v>
      </c>
      <c r="B597" s="11" t="str">
        <f>C597*(B595-B596)</f>
        <v>-$ 104.00 </v>
      </c>
      <c r="C597" s="12">
        <v>800.0</v>
      </c>
      <c r="D597" t="s">
        <v>16</v>
      </c>
      <c r="E597" s="11" t="str">
        <f>A597</f>
        <v> $ 40.00 </v>
      </c>
      <c r="F597" s="11" t="str">
        <f>(B597+A597)</f>
        <v>-$ 64.00 </v>
      </c>
      <c r="G597" t="str">
        <f>IF(F597&gt;0, "TRADE","H")</f>
        <v>H</v>
      </c>
      <c r="V597" s="3"/>
    </row>
    <row r="598" ht="15.75" customHeight="1">
      <c r="A598" t="s">
        <v>14</v>
      </c>
      <c r="B598" t="s">
        <v>15</v>
      </c>
      <c r="C598" s="9">
        <v>46267.0</v>
      </c>
    </row>
    <row r="599" ht="15.75" customHeight="1">
      <c r="A599" s="6">
        <v>1211.0</v>
      </c>
      <c r="B599" s="6">
        <v>6680.0</v>
      </c>
      <c r="M599" s="3"/>
    </row>
    <row r="600" ht="15.75" customHeight="1">
      <c r="A600" s="10">
        <v>84.75</v>
      </c>
      <c r="B600" s="11">
        <v>16.25</v>
      </c>
    </row>
    <row r="601" ht="15.75" customHeight="1">
      <c r="A601" s="11" t="str">
        <f>$B$561</f>
        <v> $ 81.40 </v>
      </c>
      <c r="B601" s="11" t="str">
        <f>$A$561</f>
        <v> $ 16.09 </v>
      </c>
      <c r="C601" s="12">
        <v>200.0</v>
      </c>
      <c r="D601" t="s">
        <v>0</v>
      </c>
      <c r="V601" s="3"/>
    </row>
    <row r="602" ht="15.75" customHeight="1">
      <c r="A602" s="6" t="str">
        <f>(A601-A600)*C601</f>
        <v>-670</v>
      </c>
      <c r="B602" s="11" t="str">
        <f>C602*(B600-B601)</f>
        <v> $ 128.00 </v>
      </c>
      <c r="C602" s="12">
        <v>800.0</v>
      </c>
      <c r="D602" t="s">
        <v>16</v>
      </c>
      <c r="E602" s="11" t="str">
        <f>A602</f>
        <v>-$ 670.00 </v>
      </c>
      <c r="F602" s="11" t="str">
        <f>(B602+A602)</f>
        <v>-$ 542.00 </v>
      </c>
      <c r="G602" t="str">
        <f>IF(F602&gt;0, "TRADE","H")</f>
        <v>H</v>
      </c>
      <c r="V602" s="3"/>
    </row>
    <row r="603" ht="15.75" customHeight="1">
      <c r="A603" t="s">
        <v>14</v>
      </c>
      <c r="B603" t="s">
        <v>15</v>
      </c>
      <c r="C603" s="9">
        <v>46265.0</v>
      </c>
    </row>
    <row r="604" ht="15.75" customHeight="1">
      <c r="A604" s="6">
        <v>1211.0</v>
      </c>
      <c r="B604" s="6">
        <v>6680.0</v>
      </c>
      <c r="M604" s="3"/>
    </row>
    <row r="605" ht="15.75" customHeight="1">
      <c r="A605" s="10">
        <v>88.5</v>
      </c>
      <c r="B605" s="11">
        <v>16.97</v>
      </c>
    </row>
    <row r="606" ht="15.75" customHeight="1">
      <c r="A606" s="11" t="str">
        <f>$B$561</f>
        <v> $ 81.40 </v>
      </c>
      <c r="B606" s="11" t="str">
        <f>$A$561</f>
        <v> $ 16.09 </v>
      </c>
      <c r="C606" s="29">
        <v>300.0</v>
      </c>
      <c r="D606" t="s">
        <v>0</v>
      </c>
      <c r="V606" s="3"/>
    </row>
    <row r="607" ht="15.75" customHeight="1">
      <c r="A607" s="6" t="str">
        <f>(A606-A605)*C606</f>
        <v>-2130</v>
      </c>
      <c r="B607" s="11" t="str">
        <f>C607*(B605-B606)</f>
        <v> $ 1,056.00 </v>
      </c>
      <c r="C607" s="29">
        <v>1200.0</v>
      </c>
      <c r="D607" t="s">
        <v>16</v>
      </c>
      <c r="E607" s="11" t="str">
        <f>A607</f>
        <v>-$ 2,130.00 </v>
      </c>
      <c r="F607" s="11" t="str">
        <f>(B607+A607)</f>
        <v>-$ 1,074.00 </v>
      </c>
      <c r="G607" t="str">
        <f>IF(F607&gt;0, "TRADE","H")</f>
        <v>H</v>
      </c>
      <c r="V607" s="3"/>
    </row>
    <row r="608" ht="15.75" customHeight="1">
      <c r="A608" t="s">
        <v>14</v>
      </c>
      <c r="B608" t="s">
        <v>15</v>
      </c>
      <c r="C608" s="9">
        <v>46261.0</v>
      </c>
    </row>
    <row r="609" ht="15.75" customHeight="1">
      <c r="A609" s="6">
        <v>1211.0</v>
      </c>
      <c r="B609" s="6">
        <v>6680.0</v>
      </c>
      <c r="M609" s="3"/>
    </row>
    <row r="610" ht="15.75" customHeight="1">
      <c r="A610" s="10">
        <v>91.25</v>
      </c>
      <c r="B610" s="11">
        <v>17.23</v>
      </c>
    </row>
    <row r="611" ht="15.75" customHeight="1">
      <c r="A611" s="11" t="str">
        <f>$B$561</f>
        <v> $ 81.40 </v>
      </c>
      <c r="B611" s="11" t="str">
        <f>$A$561</f>
        <v> $ 16.09 </v>
      </c>
      <c r="C611" s="12">
        <v>200.0</v>
      </c>
      <c r="D611" t="s">
        <v>0</v>
      </c>
      <c r="V611" s="3"/>
    </row>
    <row r="612" ht="15.75" customHeight="1">
      <c r="A612" s="6" t="str">
        <f>(A611-A610)*C611</f>
        <v>-1970</v>
      </c>
      <c r="B612" s="11" t="str">
        <f>C612*(B610-B611)</f>
        <v> $ 912.00 </v>
      </c>
      <c r="C612" s="12">
        <v>800.0</v>
      </c>
      <c r="D612" t="s">
        <v>16</v>
      </c>
      <c r="E612" s="11" t="str">
        <f>A612</f>
        <v>-$ 1,970.00 </v>
      </c>
      <c r="F612" s="11" t="str">
        <f>(B612+A612)</f>
        <v>-$ 1,058.00 </v>
      </c>
      <c r="G612" t="str">
        <f>IF(F612&gt;0, "TRADE","H")</f>
        <v>H</v>
      </c>
      <c r="V612" s="3"/>
    </row>
    <row r="613" ht="15.75" customHeight="1">
      <c r="A613" s="6">
        <v>2024.0</v>
      </c>
      <c r="B613" s="11"/>
      <c r="E613" s="11"/>
      <c r="H613" s="2" t="str">
        <f t="shared" ref="H613:H614" si="14">(I613-K613)/K613-$D$371</f>
        <v>5.10%</v>
      </c>
      <c r="I613" s="17">
        <v>0.194</v>
      </c>
      <c r="J613" s="18">
        <v>2007.0</v>
      </c>
      <c r="K613">
        <v>0.19</v>
      </c>
      <c r="V613" s="3"/>
    </row>
    <row r="614" ht="15.75" customHeight="1">
      <c r="A614" t="s">
        <v>14</v>
      </c>
      <c r="B614" t="s">
        <v>15</v>
      </c>
      <c r="C614" s="9">
        <v>45345.0</v>
      </c>
      <c r="H614" s="2" t="str">
        <f t="shared" si="14"/>
        <v>0.52%</v>
      </c>
      <c r="I614" s="19">
        <v>0.59</v>
      </c>
      <c r="J614" s="20">
        <v>1918.0</v>
      </c>
      <c r="K614">
        <v>0.605</v>
      </c>
    </row>
    <row r="615" ht="15.75" customHeight="1">
      <c r="A615" s="6">
        <v>2007.0</v>
      </c>
      <c r="B615" s="6">
        <v>1918.0</v>
      </c>
      <c r="H615" s="2" t="str">
        <f>H613-H614</f>
        <v>4.58%</v>
      </c>
      <c r="M615" s="3"/>
    </row>
    <row r="616" ht="15.75" customHeight="1">
      <c r="A616" s="10"/>
      <c r="B616" s="11"/>
    </row>
    <row r="617" ht="15.75" customHeight="1">
      <c r="A617" s="21" t="str">
        <f>I613</f>
        <v> $ 0.19 </v>
      </c>
      <c r="B617" s="21" t="str">
        <f>I614</f>
        <v> $ 0.59 </v>
      </c>
      <c r="C617">
        <v>16000.0</v>
      </c>
      <c r="D617" t="s">
        <v>0</v>
      </c>
      <c r="V617" s="3"/>
    </row>
    <row r="618" ht="15.75" customHeight="1">
      <c r="A618" s="6"/>
      <c r="B618" s="11"/>
      <c r="C618">
        <v>6000.0</v>
      </c>
      <c r="D618" t="s">
        <v>16</v>
      </c>
      <c r="E618" s="11" t="str">
        <f>A618</f>
        <v/>
      </c>
      <c r="F618" s="11" t="str">
        <f>(B618+A618)</f>
        <v> $ -   </v>
      </c>
      <c r="G618" t="str">
        <f>IF(F618&gt;0, "TRADE","H")</f>
        <v>H</v>
      </c>
      <c r="V618" s="3"/>
    </row>
    <row r="619" ht="15.75" customHeight="1">
      <c r="A619" t="s">
        <v>14</v>
      </c>
      <c r="B619" t="s">
        <v>15</v>
      </c>
      <c r="C619" s="9">
        <v>46077.0</v>
      </c>
    </row>
    <row r="620" ht="15.75" customHeight="1">
      <c r="A620" s="6">
        <v>1918.0</v>
      </c>
      <c r="B620" s="6">
        <v>1918.0</v>
      </c>
      <c r="M620" s="3"/>
    </row>
    <row r="621" ht="15.75" customHeight="1">
      <c r="A621" s="10">
        <v>1.24</v>
      </c>
      <c r="B621" s="11">
        <v>0.31</v>
      </c>
    </row>
    <row r="622" ht="15.75" customHeight="1">
      <c r="A622" s="11" t="str">
        <f>$B$617</f>
        <v> $ 0.59 </v>
      </c>
      <c r="B622" s="11" t="str">
        <f>$A$617</f>
        <v> $ 0.19 </v>
      </c>
      <c r="C622">
        <v>6000.0</v>
      </c>
      <c r="D622" t="s">
        <v>0</v>
      </c>
      <c r="V622" s="3"/>
    </row>
    <row r="623" ht="15.75" customHeight="1">
      <c r="A623" s="6" t="str">
        <f>(A622-A621)*C622</f>
        <v>-3900</v>
      </c>
      <c r="B623" s="11" t="str">
        <f>C623*(B621-B622)</f>
        <v> $ 1,856.00 </v>
      </c>
      <c r="C623">
        <v>16000.0</v>
      </c>
      <c r="D623" t="s">
        <v>16</v>
      </c>
      <c r="E623" s="11" t="str">
        <f>A623</f>
        <v>-$ 3,900.00 </v>
      </c>
      <c r="F623" s="11" t="str">
        <f>(B623+A623)</f>
        <v>-$ 2,044.00 </v>
      </c>
      <c r="G623" t="str">
        <f>IF(F623&gt;0, "TRADE","H")</f>
        <v>H</v>
      </c>
      <c r="V623" s="3"/>
    </row>
    <row r="624" ht="15.75" customHeight="1">
      <c r="A624" t="s">
        <v>14</v>
      </c>
      <c r="B624" t="s">
        <v>15</v>
      </c>
      <c r="C624" s="9">
        <v>46170.0</v>
      </c>
    </row>
    <row r="625" ht="15.75" customHeight="1">
      <c r="A625" s="6">
        <v>1918.0</v>
      </c>
      <c r="B625" s="6">
        <v>1918.0</v>
      </c>
      <c r="M625" s="3"/>
    </row>
    <row r="626" ht="15.75" customHeight="1">
      <c r="A626" s="10">
        <v>0.9</v>
      </c>
      <c r="B626" s="11">
        <v>0.21</v>
      </c>
    </row>
    <row r="627" ht="15.75" customHeight="1">
      <c r="A627" s="11" t="str">
        <f>$B$617</f>
        <v> $ 0.59 </v>
      </c>
      <c r="B627" s="11" t="str">
        <f>$A$617</f>
        <v> $ 0.19 </v>
      </c>
      <c r="C627">
        <v>6000.0</v>
      </c>
      <c r="D627" t="s">
        <v>0</v>
      </c>
      <c r="V627" s="3"/>
    </row>
    <row r="628" ht="15.75" customHeight="1">
      <c r="A628" s="6" t="str">
        <f>(A627-A626)*C627</f>
        <v>-1860</v>
      </c>
      <c r="B628" s="11" t="str">
        <f>C628*(B626-B627)</f>
        <v> $ 256.00 </v>
      </c>
      <c r="C628">
        <v>16000.0</v>
      </c>
      <c r="D628" t="s">
        <v>16</v>
      </c>
      <c r="E628" s="11" t="str">
        <f>A628</f>
        <v>-$ 1,860.00 </v>
      </c>
      <c r="F628" s="11" t="str">
        <f>(B628+A628)</f>
        <v>-$ 1,604.00 </v>
      </c>
      <c r="G628" t="str">
        <f>IF(F628&gt;0, "TRADE","H")</f>
        <v>H</v>
      </c>
      <c r="V628" s="3"/>
    </row>
    <row r="629" ht="15.75" customHeight="1">
      <c r="A629" t="s">
        <v>14</v>
      </c>
      <c r="B629" t="s">
        <v>15</v>
      </c>
      <c r="H629" s="2" t="str">
        <f t="shared" ref="H629:H630" si="15">(I629-K629)/K629-$D$371</f>
        <v>11.42%</v>
      </c>
      <c r="I629" s="17">
        <v>104.3</v>
      </c>
      <c r="J629" s="18" t="s">
        <v>41</v>
      </c>
      <c r="K629">
        <v>96.2</v>
      </c>
      <c r="Z629" s="3"/>
    </row>
    <row r="630" ht="15.75" customHeight="1">
      <c r="A630" s="6" t="s">
        <v>17</v>
      </c>
      <c r="B630" s="6">
        <v>700.0</v>
      </c>
      <c r="H630" s="2" t="str">
        <f t="shared" si="15"/>
        <v>1.19%</v>
      </c>
      <c r="I630" s="19">
        <v>444.8</v>
      </c>
      <c r="J630" s="20">
        <v>700.0</v>
      </c>
      <c r="K630">
        <v>453.0</v>
      </c>
      <c r="Z630" s="3"/>
    </row>
    <row r="631" ht="15.75" customHeight="1">
      <c r="A631" s="6">
        <v>150.0</v>
      </c>
      <c r="B631" s="6" t="str">
        <f>-3.4+352</f>
        <v>348.6</v>
      </c>
      <c r="H631" s="2" t="str">
        <f>H629-H630</f>
        <v>10.23%</v>
      </c>
      <c r="Z631" s="3"/>
    </row>
    <row r="632" ht="15.75" customHeight="1">
      <c r="A632" s="21" t="str">
        <f>I629</f>
        <v> $ 104.30 </v>
      </c>
      <c r="B632" s="21" t="str">
        <f>I630</f>
        <v> $ 444.80 </v>
      </c>
      <c r="C632">
        <v>100.0</v>
      </c>
      <c r="D632" t="s">
        <v>0</v>
      </c>
      <c r="H632" s="2"/>
      <c r="Z632" s="3"/>
    </row>
    <row r="633" ht="15.75" customHeight="1">
      <c r="A633" s="6" t="str">
        <f>(A632-A631)*C633</f>
        <v>-13710</v>
      </c>
      <c r="B633" s="6" t="str">
        <f>(B631-B632)*C632</f>
        <v>-9620</v>
      </c>
      <c r="C633">
        <v>300.0</v>
      </c>
      <c r="D633" t="s">
        <v>16</v>
      </c>
      <c r="E633" s="11" t="str">
        <f>A633</f>
        <v>-$ 13,710.00 </v>
      </c>
      <c r="F633" s="6" t="str">
        <f>(B633+A633)</f>
        <v>-23330</v>
      </c>
      <c r="G633" t="str">
        <f>IF(F633&gt;0, "TRADE","H")</f>
        <v>H</v>
      </c>
      <c r="H633" s="2"/>
      <c r="Z633" s="3"/>
    </row>
    <row r="634" ht="15.75" customHeight="1">
      <c r="A634" t="s">
        <v>14</v>
      </c>
      <c r="B634" t="s">
        <v>15</v>
      </c>
      <c r="H634" s="2" t="str">
        <f t="shared" ref="H634:H635" si="16">(I634-K634)/K634-$D$371</f>
        <v>-11.92%</v>
      </c>
      <c r="I634" s="19">
        <v>23.28</v>
      </c>
      <c r="J634" s="18">
        <v>6030.0</v>
      </c>
      <c r="K634">
        <v>27.36</v>
      </c>
      <c r="U634" s="3"/>
    </row>
    <row r="635" ht="15.75" customHeight="1">
      <c r="A635" s="6" t="s">
        <v>17</v>
      </c>
      <c r="B635" s="6">
        <v>6030.0</v>
      </c>
      <c r="H635" s="2" t="str">
        <f t="shared" si="16"/>
        <v>48.53%</v>
      </c>
      <c r="I635" s="19">
        <v>140.0</v>
      </c>
      <c r="J635" s="20" t="s">
        <v>20</v>
      </c>
      <c r="K635">
        <v>96.2</v>
      </c>
      <c r="U635" s="3"/>
    </row>
    <row r="636" ht="15.75" customHeight="1">
      <c r="A636" s="10">
        <v>149.5</v>
      </c>
      <c r="B636" s="6" t="str">
        <f>-0.32-0.2619-0.521+16.36</f>
        <v>15.2571</v>
      </c>
      <c r="H636" s="2" t="str">
        <f>H634-H635</f>
        <v>-60.44%</v>
      </c>
      <c r="I636" s="12"/>
      <c r="Y636" s="3"/>
    </row>
    <row r="637" ht="15.75" customHeight="1">
      <c r="A637" s="21" t="str">
        <f>I635</f>
        <v> $ 140.00 </v>
      </c>
      <c r="B637" s="21" t="str">
        <f>I634</f>
        <v> $ 23.28 </v>
      </c>
      <c r="C637">
        <v>4000.0</v>
      </c>
      <c r="H637" s="2"/>
      <c r="Y637" s="3"/>
    </row>
    <row r="638" ht="15.75" customHeight="1">
      <c r="A638" s="6" t="str">
        <f>(A637-A636)*C638</f>
        <v>-4750</v>
      </c>
      <c r="B638" s="6" t="str">
        <f>(B636-B637)*C637</f>
        <v>-32091.6</v>
      </c>
      <c r="C638">
        <v>500.0</v>
      </c>
      <c r="E638" s="11" t="str">
        <f>A638</f>
        <v>-$ 4,750.00 </v>
      </c>
      <c r="F638" s="6" t="str">
        <f>(B638+A638)</f>
        <v>-36841.6</v>
      </c>
      <c r="G638" t="str">
        <f>IF(F638&gt;0, "TRADE","H")</f>
        <v>H</v>
      </c>
      <c r="H638" s="2"/>
      <c r="Y638" s="3"/>
    </row>
    <row r="639" ht="15.75" customHeight="1">
      <c r="A639" t="s">
        <v>14</v>
      </c>
      <c r="B639" t="s">
        <v>15</v>
      </c>
      <c r="H639" s="2"/>
      <c r="U639" s="3"/>
    </row>
    <row r="640" ht="15.75" customHeight="1">
      <c r="A640" s="6" t="s">
        <v>17</v>
      </c>
      <c r="B640" s="6">
        <v>6030.0</v>
      </c>
      <c r="H640" s="2"/>
      <c r="U640" s="3"/>
    </row>
    <row r="641" ht="15.75" customHeight="1">
      <c r="A641" s="10">
        <v>138.3</v>
      </c>
      <c r="B641" s="6" t="str">
        <f>-0.32-0.3-0.2619+15.64</f>
        <v>14.7581</v>
      </c>
      <c r="H641" s="2"/>
      <c r="Y641" s="3"/>
    </row>
    <row r="642" ht="15.75" customHeight="1">
      <c r="A642" s="11" t="str">
        <f t="shared" ref="A642:B642" si="17">A637</f>
        <v> $ 140.00 </v>
      </c>
      <c r="B642" s="11" t="str">
        <f t="shared" si="17"/>
        <v> $ 23.28 </v>
      </c>
      <c r="C642">
        <v>4000.0</v>
      </c>
      <c r="H642" s="2"/>
      <c r="Y642" s="3"/>
    </row>
    <row r="643" ht="15.75" customHeight="1">
      <c r="A643" s="6" t="str">
        <f>(A642-A641)*C643</f>
        <v>850</v>
      </c>
      <c r="B643" s="6" t="str">
        <f>(B641-B642)*C642</f>
        <v>-34087.6</v>
      </c>
      <c r="C643">
        <v>500.0</v>
      </c>
      <c r="E643" s="11" t="str">
        <f>A643</f>
        <v> $ 850.00 </v>
      </c>
      <c r="F643" s="6" t="str">
        <f>(B643+A643)</f>
        <v>-33237.6</v>
      </c>
      <c r="G643" t="str">
        <f>IF(F643&gt;0, "TRADE","H")</f>
        <v>H</v>
      </c>
      <c r="H643" s="2"/>
      <c r="N643" s="3"/>
      <c r="Y643" s="3"/>
    </row>
    <row r="644" ht="15.75" customHeight="1">
      <c r="A644" t="s">
        <v>14</v>
      </c>
      <c r="B644" t="s">
        <v>15</v>
      </c>
      <c r="C644" s="9">
        <v>45908.0</v>
      </c>
      <c r="H644" s="2" t="str">
        <f t="shared" ref="H644:H645" si="18">(I644-K644)/K644-$D$371</f>
        <v>-2.77%</v>
      </c>
      <c r="I644" s="17">
        <v>67.0</v>
      </c>
      <c r="J644" s="18">
        <v>2382.0</v>
      </c>
      <c r="K644">
        <v>71.1</v>
      </c>
      <c r="N644" s="3"/>
    </row>
    <row r="645" ht="15.75" customHeight="1">
      <c r="A645" s="6">
        <v>2382.0</v>
      </c>
      <c r="B645" s="6" t="s">
        <v>17</v>
      </c>
      <c r="H645" s="2" t="str">
        <f t="shared" si="18"/>
        <v>-3.97%</v>
      </c>
      <c r="I645" s="17">
        <v>89.5</v>
      </c>
      <c r="J645" s="20" t="s">
        <v>20</v>
      </c>
      <c r="K645">
        <v>96.2</v>
      </c>
    </row>
    <row r="646" ht="15.75" customHeight="1">
      <c r="A646" s="10">
        <v>80.8</v>
      </c>
      <c r="B646" s="6">
        <v>104.8</v>
      </c>
      <c r="H646" s="2" t="str">
        <f>H644-H645</f>
        <v>1.20%</v>
      </c>
      <c r="I646" s="12"/>
      <c r="Y646" s="3"/>
    </row>
    <row r="647" ht="15.75" customHeight="1">
      <c r="A647" s="21" t="str">
        <f>I644</f>
        <v> $ 67.00 </v>
      </c>
      <c r="B647" s="21" t="str">
        <f>I645</f>
        <v> $ 89.50 </v>
      </c>
      <c r="C647">
        <v>200.0</v>
      </c>
      <c r="H647" s="2"/>
      <c r="Y647" s="3"/>
    </row>
    <row r="648" ht="15.75" customHeight="1">
      <c r="A648" s="6"/>
      <c r="B648" s="6"/>
      <c r="C648">
        <v>200.0</v>
      </c>
      <c r="E648" s="11" t="str">
        <f>A648</f>
        <v/>
      </c>
      <c r="F648" s="6" t="str">
        <f>(B648+A648)</f>
        <v>0</v>
      </c>
      <c r="G648" t="str">
        <f>IF(F648&gt;0, "TRADE","H")</f>
        <v>H</v>
      </c>
      <c r="H648" s="2"/>
      <c r="N648" s="3"/>
      <c r="Y648" s="3"/>
    </row>
    <row r="649" ht="15.75" customHeight="1">
      <c r="A649" t="s">
        <v>14</v>
      </c>
      <c r="B649" t="s">
        <v>15</v>
      </c>
      <c r="C649" s="9">
        <v>46265.0</v>
      </c>
      <c r="J649" s="3"/>
    </row>
    <row r="650" ht="15.75" customHeight="1">
      <c r="A650" s="6" t="s">
        <v>17</v>
      </c>
      <c r="B650" s="6">
        <v>2382.0</v>
      </c>
    </row>
    <row r="651" ht="15.75" customHeight="1">
      <c r="A651" s="10">
        <v>93.7</v>
      </c>
      <c r="B651" s="6">
        <v>68.0</v>
      </c>
      <c r="U651" s="3"/>
    </row>
    <row r="652" ht="15.75" customHeight="1">
      <c r="A652" s="11" t="str">
        <f>$B$647</f>
        <v> $ 89.50 </v>
      </c>
      <c r="B652" s="11" t="str">
        <f>$A$647</f>
        <v> $ 67.00 </v>
      </c>
      <c r="C652">
        <v>200.0</v>
      </c>
      <c r="H652" s="2"/>
      <c r="Y652" s="3"/>
    </row>
    <row r="653" ht="15.75" customHeight="1">
      <c r="A653" s="6" t="str">
        <f>(A652-A651)*C653</f>
        <v>-840</v>
      </c>
      <c r="B653" s="6" t="str">
        <f>(B651-B652)*C652</f>
        <v>200</v>
      </c>
      <c r="C653">
        <v>200.0</v>
      </c>
      <c r="E653" s="11" t="str">
        <f>A653</f>
        <v>-$ 840.00 </v>
      </c>
      <c r="F653" s="6" t="str">
        <f>(B653+A653)</f>
        <v>-640</v>
      </c>
      <c r="G653" t="str">
        <f>IF(F653&gt;0, "TRADE","H")</f>
        <v>H</v>
      </c>
      <c r="H653" s="2"/>
      <c r="N653" s="3"/>
      <c r="Y653" s="3"/>
    </row>
    <row r="654" ht="15.75" customHeight="1">
      <c r="A654" t="s">
        <v>14</v>
      </c>
      <c r="B654" t="s">
        <v>15</v>
      </c>
      <c r="C654" s="9">
        <v>46283.0</v>
      </c>
      <c r="H654" s="2"/>
      <c r="N654" s="3"/>
    </row>
    <row r="655" ht="15.75" customHeight="1">
      <c r="A655" s="6">
        <v>2382.0</v>
      </c>
      <c r="B655" s="6" t="s">
        <v>17</v>
      </c>
      <c r="H655" s="2"/>
    </row>
    <row r="656" ht="15.75" customHeight="1">
      <c r="A656" s="10">
        <v>67.0</v>
      </c>
      <c r="B656" s="6">
        <v>89.5</v>
      </c>
      <c r="H656" s="2"/>
      <c r="Y656" s="3"/>
    </row>
    <row r="657" ht="15.75" customHeight="1">
      <c r="A657" s="11" t="str">
        <f>$A$647</f>
        <v> $ 67.00 </v>
      </c>
      <c r="B657" s="11" t="str">
        <f>$B$647</f>
        <v> $ 89.50 </v>
      </c>
      <c r="C657">
        <v>200.0</v>
      </c>
      <c r="H657" s="2"/>
      <c r="Y657" s="3"/>
    </row>
    <row r="658" ht="15.75" customHeight="1">
      <c r="A658" s="6" t="str">
        <f>(A657-A656)*C658</f>
        <v>0</v>
      </c>
      <c r="B658" s="6" t="str">
        <f>(B656-B657)*C657</f>
        <v>0</v>
      </c>
      <c r="C658">
        <v>200.0</v>
      </c>
      <c r="E658" s="11" t="str">
        <f>A658</f>
        <v> $ -   </v>
      </c>
      <c r="F658" s="6" t="str">
        <f>(B658+A658)</f>
        <v>0</v>
      </c>
      <c r="G658" t="str">
        <f>IF(F658&gt;0, "TRADE","H")</f>
        <v>H</v>
      </c>
      <c r="H658" s="2"/>
      <c r="N658" s="3"/>
      <c r="Y658" s="3"/>
    </row>
    <row r="659" ht="15.75" customHeight="1">
      <c r="A659" t="s">
        <v>14</v>
      </c>
      <c r="B659" t="s">
        <v>15</v>
      </c>
      <c r="C659" s="9">
        <v>45901.0</v>
      </c>
      <c r="H659" s="2"/>
      <c r="N659" s="3"/>
    </row>
    <row r="660" ht="15.75" customHeight="1">
      <c r="A660" s="6">
        <v>2382.0</v>
      </c>
      <c r="B660" s="6" t="s">
        <v>17</v>
      </c>
      <c r="H660" s="2"/>
    </row>
    <row r="661" ht="15.75" customHeight="1">
      <c r="A661" s="10" t="str">
        <f>-1.206+83.65</f>
        <v>82.444</v>
      </c>
      <c r="B661" s="6">
        <v>93.9</v>
      </c>
      <c r="H661" s="2"/>
      <c r="Y661" s="3"/>
    </row>
    <row r="662" ht="15.75" customHeight="1">
      <c r="A662" s="11" t="str">
        <f>$A$647</f>
        <v> $ 67.00 </v>
      </c>
      <c r="B662" s="11" t="str">
        <f>$B$647</f>
        <v> $ 89.50 </v>
      </c>
      <c r="C662">
        <v>200.0</v>
      </c>
      <c r="H662" s="2"/>
      <c r="Y662" s="3"/>
    </row>
    <row r="663" ht="15.75" customHeight="1">
      <c r="A663" s="6" t="str">
        <f>(A662-A661)*C663</f>
        <v>-3088.8</v>
      </c>
      <c r="B663" s="6" t="str">
        <f>(B661-B662)*C662</f>
        <v>880</v>
      </c>
      <c r="C663">
        <v>200.0</v>
      </c>
      <c r="E663" s="11" t="str">
        <f>A663</f>
        <v>-$ 3,088.80 </v>
      </c>
      <c r="F663" s="6" t="str">
        <f>(B663+A663)</f>
        <v>-2208.8</v>
      </c>
      <c r="G663" t="str">
        <f>IF(F663&gt;0, "TRADE","H")</f>
        <v>H</v>
      </c>
      <c r="H663" s="2"/>
      <c r="N663" s="3"/>
      <c r="Y663" s="3"/>
    </row>
    <row r="664" ht="15.75" customHeight="1">
      <c r="A664" t="s">
        <v>14</v>
      </c>
      <c r="B664" t="s">
        <v>15</v>
      </c>
      <c r="C664" s="9">
        <v>45898.0</v>
      </c>
      <c r="H664" s="2"/>
      <c r="N664" s="3"/>
    </row>
    <row r="665" ht="15.75" customHeight="1">
      <c r="A665" s="6">
        <v>2382.0</v>
      </c>
      <c r="B665" s="6" t="s">
        <v>17</v>
      </c>
      <c r="H665" s="2"/>
    </row>
    <row r="666" ht="15.75" customHeight="1">
      <c r="A666" s="10" t="str">
        <f>-1.206+83.55</f>
        <v>82.344</v>
      </c>
      <c r="B666" s="6">
        <v>89.7</v>
      </c>
      <c r="H666" s="2"/>
      <c r="Y666" s="3"/>
    </row>
    <row r="667" ht="15.75" customHeight="1">
      <c r="A667" s="11" t="str">
        <f>$A$647</f>
        <v> $ 67.00 </v>
      </c>
      <c r="B667" s="11" t="str">
        <f>$B$647</f>
        <v> $ 89.50 </v>
      </c>
      <c r="C667">
        <v>200.0</v>
      </c>
      <c r="H667" s="2"/>
      <c r="Y667" s="3"/>
    </row>
    <row r="668" ht="15.75" customHeight="1">
      <c r="A668" s="6" t="str">
        <f>(A667-A666)*C668</f>
        <v>-3068.8</v>
      </c>
      <c r="B668" s="6" t="str">
        <f>(B666-B667)*C667</f>
        <v>40</v>
      </c>
      <c r="C668">
        <v>200.0</v>
      </c>
      <c r="E668" s="11" t="str">
        <f>A668</f>
        <v>-$ 3,068.80 </v>
      </c>
      <c r="F668" s="6" t="str">
        <f>(B668+A668)</f>
        <v>-3028.8</v>
      </c>
      <c r="G668" t="str">
        <f>IF(F668&gt;0, "TRADE","H")</f>
        <v>H</v>
      </c>
      <c r="H668" s="2"/>
      <c r="N668" s="3"/>
      <c r="Y668" s="3"/>
    </row>
    <row r="669" ht="15.75" customHeight="1">
      <c r="A669" t="s">
        <v>14</v>
      </c>
      <c r="B669" t="s">
        <v>15</v>
      </c>
      <c r="C669" s="9">
        <v>45898.0</v>
      </c>
      <c r="H669" s="2"/>
      <c r="N669" s="3"/>
    </row>
    <row r="670" ht="15.75" customHeight="1">
      <c r="A670" s="6">
        <v>2382.0</v>
      </c>
      <c r="B670" s="6" t="s">
        <v>17</v>
      </c>
      <c r="H670" s="2"/>
    </row>
    <row r="671" ht="15.75" customHeight="1">
      <c r="A671" s="10" t="str">
        <f>-1.206+82</f>
        <v>80.794</v>
      </c>
      <c r="B671" s="6">
        <v>87.9</v>
      </c>
      <c r="H671" s="2"/>
      <c r="Y671" s="3"/>
    </row>
    <row r="672" ht="15.75" customHeight="1">
      <c r="A672" s="11" t="str">
        <f>$A$647</f>
        <v> $ 67.00 </v>
      </c>
      <c r="B672" s="11" t="str">
        <f>$B$647</f>
        <v> $ 89.50 </v>
      </c>
      <c r="C672">
        <v>200.0</v>
      </c>
      <c r="H672" s="2"/>
      <c r="Y672" s="3"/>
    </row>
    <row r="673" ht="15.75" customHeight="1">
      <c r="A673" s="6" t="str">
        <f>(A672-A671)*C673</f>
        <v>-2758.8</v>
      </c>
      <c r="B673" s="6" t="str">
        <f>(B671-B672)*C672</f>
        <v>-320</v>
      </c>
      <c r="C673">
        <v>200.0</v>
      </c>
      <c r="E673" s="11" t="str">
        <f>A673</f>
        <v>-$ 2,758.80 </v>
      </c>
      <c r="F673" s="6" t="str">
        <f>(B673+A673)</f>
        <v>-3078.8</v>
      </c>
      <c r="G673" t="str">
        <f>IF(F673&gt;0, "TRADE","H")</f>
        <v>H</v>
      </c>
      <c r="H673" s="2"/>
      <c r="N673" s="3"/>
      <c r="Y673" s="3"/>
    </row>
    <row r="674" ht="15.75" customHeight="1">
      <c r="A674" t="s">
        <v>14</v>
      </c>
      <c r="B674" t="s">
        <v>15</v>
      </c>
      <c r="C674" s="9">
        <v>45719.0</v>
      </c>
      <c r="H674" s="2"/>
      <c r="N674" s="3"/>
    </row>
    <row r="675" ht="15.75" customHeight="1">
      <c r="A675" s="6">
        <v>2382.0</v>
      </c>
      <c r="B675" s="6" t="s">
        <v>17</v>
      </c>
      <c r="H675" s="2"/>
    </row>
    <row r="676" ht="15.75" customHeight="1">
      <c r="A676" s="10" t="str">
        <f>-1.206-0.532+84.25</f>
        <v>82.512</v>
      </c>
      <c r="B676" s="6">
        <v>83.9</v>
      </c>
      <c r="H676" s="2"/>
      <c r="Y676" s="3"/>
    </row>
    <row r="677" ht="15.75" customHeight="1">
      <c r="A677" s="11" t="str">
        <f>$A$647</f>
        <v> $ 67.00 </v>
      </c>
      <c r="B677" s="11" t="str">
        <f>$B$647</f>
        <v> $ 89.50 </v>
      </c>
      <c r="C677">
        <v>200.0</v>
      </c>
      <c r="H677" s="2"/>
      <c r="Y677" s="3"/>
    </row>
    <row r="678" ht="15.75" customHeight="1">
      <c r="A678" s="6" t="str">
        <f>(A677-A676)*C678</f>
        <v>-3102.4</v>
      </c>
      <c r="B678" s="6" t="str">
        <f>(B676-B677)*C677</f>
        <v>-1120</v>
      </c>
      <c r="C678">
        <v>200.0</v>
      </c>
      <c r="E678" s="11" t="str">
        <f>A678</f>
        <v>-$ 3,102.40 </v>
      </c>
      <c r="F678" s="6" t="str">
        <f>(B678+A678)</f>
        <v>-4222.4</v>
      </c>
      <c r="G678" t="str">
        <f>IF(F678&gt;0, "TRADE","H")</f>
        <v>H</v>
      </c>
      <c r="H678" s="2"/>
      <c r="N678" s="3"/>
      <c r="Y678" s="3"/>
    </row>
    <row r="679" ht="15.75" customHeight="1">
      <c r="A679" t="s">
        <v>14</v>
      </c>
      <c r="B679" t="s">
        <v>15</v>
      </c>
      <c r="C679" s="9">
        <v>45726.0</v>
      </c>
      <c r="H679" s="2"/>
      <c r="N679" s="3"/>
    </row>
    <row r="680" ht="15.75" customHeight="1">
      <c r="A680" s="6">
        <v>2382.0</v>
      </c>
      <c r="B680" s="6" t="s">
        <v>17</v>
      </c>
      <c r="H680" s="2"/>
    </row>
    <row r="681" ht="15.75" customHeight="1">
      <c r="A681" s="10" t="str">
        <f>-1.206-0.532+84.25</f>
        <v>82.512</v>
      </c>
      <c r="B681" s="6">
        <v>83.9</v>
      </c>
      <c r="H681" s="2"/>
      <c r="Y681" s="3"/>
    </row>
    <row r="682" ht="15.75" customHeight="1">
      <c r="A682" s="11" t="str">
        <f>$A$647</f>
        <v> $ 67.00 </v>
      </c>
      <c r="B682" s="11" t="str">
        <f>$B$647</f>
        <v> $ 89.50 </v>
      </c>
      <c r="C682">
        <v>200.0</v>
      </c>
      <c r="H682" s="2"/>
      <c r="Y682" s="3"/>
    </row>
    <row r="683" ht="15.75" customHeight="1">
      <c r="A683" s="6" t="str">
        <f>(A682-A681)*C683</f>
        <v>-3102.4</v>
      </c>
      <c r="B683" s="6" t="str">
        <f>(B681-B682)*C682</f>
        <v>-1120</v>
      </c>
      <c r="C683">
        <v>200.0</v>
      </c>
      <c r="E683" s="11" t="str">
        <f>A683</f>
        <v>-$ 3,102.40 </v>
      </c>
      <c r="F683" s="6" t="str">
        <f>(B683+A683)</f>
        <v>-4222.4</v>
      </c>
      <c r="G683" t="str">
        <f>IF(F683&gt;0, "TRADE","H")</f>
        <v>H</v>
      </c>
      <c r="H683" s="2"/>
      <c r="Y683" s="3"/>
    </row>
    <row r="684" ht="15.75" customHeight="1">
      <c r="A684" t="s">
        <v>14</v>
      </c>
      <c r="B684" t="s">
        <v>15</v>
      </c>
      <c r="C684" s="9">
        <v>45965.0</v>
      </c>
      <c r="H684" s="2" t="str">
        <f t="shared" ref="H684:H685" si="19">(I684-K684)/K684-$D$371</f>
        <v>-1.90%</v>
      </c>
      <c r="I684" s="17">
        <v>80.65</v>
      </c>
      <c r="J684" s="18">
        <v>9880.0</v>
      </c>
      <c r="K684">
        <v>84.8</v>
      </c>
      <c r="Z684" s="3"/>
    </row>
    <row r="685" ht="15.75" customHeight="1">
      <c r="A685" s="6">
        <v>9880.0</v>
      </c>
      <c r="B685" s="6" t="s">
        <v>17</v>
      </c>
      <c r="H685" s="2" t="str">
        <f t="shared" si="19"/>
        <v>-1.01%</v>
      </c>
      <c r="I685" s="17">
        <v>92.35</v>
      </c>
      <c r="J685" s="20" t="s">
        <v>20</v>
      </c>
      <c r="K685">
        <v>96.2</v>
      </c>
      <c r="Z685" s="3"/>
    </row>
    <row r="686" ht="15.75" customHeight="1">
      <c r="A686" s="10">
        <v>137.1</v>
      </c>
      <c r="B686" s="6">
        <v>125.1</v>
      </c>
      <c r="H686" s="2" t="str">
        <f>H684-H685</f>
        <v>-0.89%</v>
      </c>
      <c r="I686" s="12"/>
      <c r="Z686" s="3"/>
    </row>
    <row r="687" ht="15.75" customHeight="1">
      <c r="A687" s="21" t="str">
        <f>I684</f>
        <v> $ 80.65 </v>
      </c>
      <c r="B687" s="21" t="str">
        <f>I685</f>
        <v> $ 92.35 </v>
      </c>
      <c r="C687">
        <v>200.0</v>
      </c>
      <c r="D687" t="s">
        <v>0</v>
      </c>
      <c r="H687" s="2"/>
      <c r="Z687" s="3"/>
    </row>
    <row r="688" ht="15.75" customHeight="1">
      <c r="A688" s="6" t="str">
        <f>(A687-A686)*C688</f>
        <v>-11290</v>
      </c>
      <c r="B688" s="6" t="str">
        <f>(B686-B687)*C687</f>
        <v>6550</v>
      </c>
      <c r="C688">
        <v>200.0</v>
      </c>
      <c r="D688" t="s">
        <v>16</v>
      </c>
      <c r="E688" s="11" t="str">
        <f>A688</f>
        <v>-$ 11,290.00 </v>
      </c>
      <c r="F688" s="6" t="str">
        <f>(B688+A688)</f>
        <v>-4740</v>
      </c>
      <c r="G688" t="str">
        <f>IF(F688&gt;0, "TRADE","H")</f>
        <v>H</v>
      </c>
      <c r="H688" s="2"/>
      <c r="Z688" s="3"/>
    </row>
    <row r="689" ht="15.75" customHeight="1">
      <c r="A689" t="s">
        <v>14</v>
      </c>
      <c r="B689" t="s">
        <v>15</v>
      </c>
      <c r="C689" s="9">
        <v>46217.0</v>
      </c>
      <c r="H689" s="2"/>
      <c r="Z689" s="3"/>
    </row>
    <row r="690" ht="15.75" customHeight="1">
      <c r="A690" s="6" t="s">
        <v>17</v>
      </c>
      <c r="B690" s="6">
        <v>9880.0</v>
      </c>
      <c r="H690" s="2"/>
      <c r="Z690" s="3"/>
    </row>
    <row r="691" ht="15.75" customHeight="1">
      <c r="A691" s="10">
        <v>109.1</v>
      </c>
      <c r="B691" s="6">
        <v>81.85</v>
      </c>
      <c r="H691" s="2"/>
      <c r="Z691" s="3"/>
    </row>
    <row r="692" ht="15.75" customHeight="1">
      <c r="A692" s="11" t="str">
        <f>$B$687</f>
        <v> $ 92.35 </v>
      </c>
      <c r="B692" s="11" t="str">
        <f>$A$687</f>
        <v> $ 80.65 </v>
      </c>
      <c r="C692">
        <v>200.0</v>
      </c>
      <c r="D692" t="s">
        <v>0</v>
      </c>
      <c r="H692" s="2"/>
      <c r="Z692" s="3"/>
    </row>
    <row r="693" ht="15.75" customHeight="1">
      <c r="A693" s="6" t="str">
        <f>(A692-A691)*C693</f>
        <v>-3350</v>
      </c>
      <c r="B693" s="6" t="str">
        <f>(B691-B692)*C692</f>
        <v>240</v>
      </c>
      <c r="C693">
        <v>200.0</v>
      </c>
      <c r="D693" t="s">
        <v>16</v>
      </c>
      <c r="E693" s="11" t="str">
        <f>A693</f>
        <v>-$ 3,350.00 </v>
      </c>
      <c r="F693" s="6" t="str">
        <f>(B693+A693)</f>
        <v>-3110</v>
      </c>
      <c r="G693" t="str">
        <f>IF(F693&gt;0, "TRADE","H")</f>
        <v>H</v>
      </c>
      <c r="H693" s="2"/>
      <c r="Z693" s="3"/>
    </row>
    <row r="694" ht="15.75" customHeight="1">
      <c r="A694" t="s">
        <v>14</v>
      </c>
      <c r="B694" t="s">
        <v>15</v>
      </c>
      <c r="C694" s="9">
        <v>46217.0</v>
      </c>
      <c r="H694" s="2"/>
      <c r="Z694" s="3"/>
    </row>
    <row r="695" ht="15.75" customHeight="1">
      <c r="A695" s="6" t="s">
        <v>17</v>
      </c>
      <c r="B695" s="6">
        <v>9880.0</v>
      </c>
      <c r="H695" s="2"/>
      <c r="Z695" s="3"/>
    </row>
    <row r="696" ht="15.75" customHeight="1">
      <c r="A696" s="10">
        <v>105.7</v>
      </c>
      <c r="B696" s="6">
        <v>80.25</v>
      </c>
      <c r="H696" s="2"/>
      <c r="Z696" s="3"/>
    </row>
    <row r="697" ht="15.75" customHeight="1">
      <c r="A697" s="11" t="str">
        <f>$B$687</f>
        <v> $ 92.35 </v>
      </c>
      <c r="B697" s="11" t="str">
        <f>$A$687</f>
        <v> $ 80.65 </v>
      </c>
      <c r="C697">
        <v>200.0</v>
      </c>
      <c r="D697" t="s">
        <v>0</v>
      </c>
      <c r="H697" s="2"/>
      <c r="Z697" s="3"/>
    </row>
    <row r="698" ht="15.75" customHeight="1">
      <c r="A698" s="6" t="str">
        <f>(A697-A696)*C698</f>
        <v>-2670</v>
      </c>
      <c r="B698" s="6" t="str">
        <f>(B696-B697)*C697</f>
        <v>-80</v>
      </c>
      <c r="C698">
        <v>200.0</v>
      </c>
      <c r="D698" t="s">
        <v>16</v>
      </c>
      <c r="E698" s="11" t="str">
        <f>A698</f>
        <v>-$ 2,670.00 </v>
      </c>
      <c r="F698" s="6" t="str">
        <f>(B698+A698)</f>
        <v>-2750</v>
      </c>
      <c r="G698" t="str">
        <f>IF(F698&gt;0, "TRADE","H")</f>
        <v>H</v>
      </c>
      <c r="H698" s="2"/>
      <c r="Z698" s="3"/>
    </row>
    <row r="699" ht="15.75" customHeight="1">
      <c r="A699" t="s">
        <v>14</v>
      </c>
      <c r="B699" t="s">
        <v>15</v>
      </c>
      <c r="C699" s="9">
        <v>46231.0</v>
      </c>
      <c r="H699" s="2"/>
      <c r="Z699" s="3"/>
    </row>
    <row r="700" ht="15.75" customHeight="1">
      <c r="A700" s="6" t="s">
        <v>17</v>
      </c>
      <c r="B700" s="6">
        <v>9880.0</v>
      </c>
      <c r="H700" s="2"/>
      <c r="Z700" s="3"/>
    </row>
    <row r="701" ht="15.75" customHeight="1">
      <c r="A701" s="10">
        <v>102.1</v>
      </c>
      <c r="B701" s="6">
        <v>79.35</v>
      </c>
      <c r="H701" s="2"/>
      <c r="Z701" s="3"/>
    </row>
    <row r="702" ht="15.75" customHeight="1">
      <c r="A702" s="11" t="str">
        <f>$B$687</f>
        <v> $ 92.35 </v>
      </c>
      <c r="B702" s="11" t="str">
        <f>$A$687</f>
        <v> $ 80.65 </v>
      </c>
      <c r="C702">
        <v>200.0</v>
      </c>
      <c r="D702" t="s">
        <v>0</v>
      </c>
      <c r="H702" s="2"/>
      <c r="Z702" s="3"/>
    </row>
    <row r="703" ht="15.75" customHeight="1">
      <c r="A703" s="6" t="str">
        <f>(A702-A701)*C703</f>
        <v>-1950</v>
      </c>
      <c r="B703" s="6" t="str">
        <f>(B701-B702)*C702</f>
        <v>-260</v>
      </c>
      <c r="C703">
        <v>200.0</v>
      </c>
      <c r="D703" t="s">
        <v>16</v>
      </c>
      <c r="E703" s="11" t="str">
        <f>A703</f>
        <v>-$ 1,950.00 </v>
      </c>
      <c r="F703" s="6" t="str">
        <f>(B703+A703)</f>
        <v>-2210</v>
      </c>
      <c r="G703" t="str">
        <f>IF(F703&gt;0, "TRADE","H")</f>
        <v>H</v>
      </c>
      <c r="H703" s="2"/>
      <c r="Z703" s="3"/>
    </row>
    <row r="704" ht="15.75" customHeight="1">
      <c r="A704" t="s">
        <v>14</v>
      </c>
      <c r="B704" t="s">
        <v>15</v>
      </c>
      <c r="C704" s="9">
        <v>46238.0</v>
      </c>
      <c r="H704" s="2"/>
      <c r="Z704" s="3"/>
    </row>
    <row r="705" ht="15.75" customHeight="1">
      <c r="A705" s="6" t="s">
        <v>17</v>
      </c>
      <c r="B705" s="6">
        <v>9880.0</v>
      </c>
      <c r="H705" s="2"/>
      <c r="Z705" s="3"/>
    </row>
    <row r="706" ht="15.75" customHeight="1">
      <c r="A706" s="10">
        <v>109.8</v>
      </c>
      <c r="B706" s="6">
        <v>86.4</v>
      </c>
      <c r="H706" s="2"/>
      <c r="Z706" s="3"/>
    </row>
    <row r="707" ht="15.75" customHeight="1">
      <c r="A707" s="11" t="str">
        <f>$B$687</f>
        <v> $ 92.35 </v>
      </c>
      <c r="B707" s="11" t="str">
        <f>$A$687</f>
        <v> $ 80.65 </v>
      </c>
      <c r="C707">
        <v>200.0</v>
      </c>
      <c r="D707" t="s">
        <v>0</v>
      </c>
      <c r="H707" s="2"/>
      <c r="Z707" s="3"/>
    </row>
    <row r="708" ht="15.75" customHeight="1">
      <c r="A708" s="6" t="str">
        <f>(A707-A706)*C708</f>
        <v>-3490</v>
      </c>
      <c r="B708" s="6" t="str">
        <f>(B706-B707)*C707</f>
        <v>1150</v>
      </c>
      <c r="C708">
        <v>200.0</v>
      </c>
      <c r="D708" t="s">
        <v>16</v>
      </c>
      <c r="E708" s="11" t="str">
        <f>A708</f>
        <v>-$ 3,490.00 </v>
      </c>
      <c r="F708" s="6" t="str">
        <f>(B708+A708)</f>
        <v>-2340</v>
      </c>
      <c r="G708" t="str">
        <f>IF(F708&gt;0, "TRADE","H")</f>
        <v>H</v>
      </c>
      <c r="H708" s="2"/>
      <c r="Z708" s="3"/>
    </row>
    <row r="709" ht="15.75" customHeight="1">
      <c r="A709" t="s">
        <v>14</v>
      </c>
      <c r="B709" t="s">
        <v>15</v>
      </c>
      <c r="C709" s="9">
        <v>46240.0</v>
      </c>
      <c r="H709" s="2"/>
      <c r="Z709" s="3"/>
    </row>
    <row r="710" ht="15.75" customHeight="1">
      <c r="A710" s="6" t="s">
        <v>17</v>
      </c>
      <c r="B710" s="6">
        <v>9880.0</v>
      </c>
      <c r="H710" s="2"/>
      <c r="Z710" s="3"/>
    </row>
    <row r="711" ht="15.75" customHeight="1">
      <c r="A711" s="10">
        <v>108.9</v>
      </c>
      <c r="B711" s="6">
        <v>88.3</v>
      </c>
      <c r="H711" s="2"/>
      <c r="Z711" s="3"/>
    </row>
    <row r="712" ht="15.75" customHeight="1">
      <c r="A712" s="11" t="str">
        <f>$B$687</f>
        <v> $ 92.35 </v>
      </c>
      <c r="B712" s="11" t="str">
        <f>$A$687</f>
        <v> $ 80.65 </v>
      </c>
      <c r="C712">
        <v>200.0</v>
      </c>
      <c r="D712" t="s">
        <v>0</v>
      </c>
      <c r="H712" s="2"/>
      <c r="Z712" s="3"/>
    </row>
    <row r="713" ht="15.75" customHeight="1">
      <c r="A713" s="6" t="str">
        <f>(A712-A711)*C713</f>
        <v>-3310</v>
      </c>
      <c r="B713" s="6" t="str">
        <f>(B711-B712)*C712</f>
        <v>1530</v>
      </c>
      <c r="C713">
        <v>200.0</v>
      </c>
      <c r="D713" t="s">
        <v>16</v>
      </c>
      <c r="E713" s="11" t="str">
        <f>A713</f>
        <v>-$ 3,310.00 </v>
      </c>
      <c r="F713" s="6" t="str">
        <f>(B713+A713)</f>
        <v>-1780</v>
      </c>
      <c r="G713" t="str">
        <f>IF(F713&gt;0, "TRADE","H")</f>
        <v>H</v>
      </c>
      <c r="H713" s="2"/>
      <c r="Z713" s="3"/>
    </row>
    <row r="714" ht="15.75" customHeight="1">
      <c r="A714" t="s">
        <v>14</v>
      </c>
      <c r="B714" t="s">
        <v>15</v>
      </c>
      <c r="C714" s="9">
        <v>46245.0</v>
      </c>
      <c r="H714" s="2"/>
      <c r="Z714" s="3"/>
    </row>
    <row r="715" ht="15.75" customHeight="1">
      <c r="A715" s="6" t="s">
        <v>17</v>
      </c>
      <c r="B715" s="6">
        <v>9880.0</v>
      </c>
      <c r="H715" s="2"/>
      <c r="Z715" s="3"/>
    </row>
    <row r="716" ht="15.75" customHeight="1">
      <c r="A716" s="10">
        <v>105.5</v>
      </c>
      <c r="B716" s="6">
        <v>88.75</v>
      </c>
      <c r="H716" s="2"/>
      <c r="Z716" s="3"/>
    </row>
    <row r="717" ht="15.75" customHeight="1">
      <c r="A717" s="11" t="str">
        <f>$B$687</f>
        <v> $ 92.35 </v>
      </c>
      <c r="B717" s="11" t="str">
        <f>$A$687</f>
        <v> $ 80.65 </v>
      </c>
      <c r="C717">
        <v>200.0</v>
      </c>
      <c r="D717" t="s">
        <v>0</v>
      </c>
      <c r="H717" s="2"/>
      <c r="Z717" s="3"/>
    </row>
    <row r="718" ht="15.75" customHeight="1">
      <c r="A718" s="6" t="str">
        <f>(A717-A716)*C718</f>
        <v>-2630</v>
      </c>
      <c r="B718" s="6" t="str">
        <f>(B716-B717)*C717</f>
        <v>1620</v>
      </c>
      <c r="C718">
        <v>200.0</v>
      </c>
      <c r="D718" t="s">
        <v>16</v>
      </c>
      <c r="E718" s="11" t="str">
        <f>A718</f>
        <v>-$ 2,630.00 </v>
      </c>
      <c r="F718" s="6" t="str">
        <f>(B718+A718)</f>
        <v>-1010</v>
      </c>
      <c r="G718" t="str">
        <f>IF(F718&gt;0, "TRADE","H")</f>
        <v>H</v>
      </c>
      <c r="H718" s="2"/>
      <c r="Z718" s="3"/>
    </row>
    <row r="719" ht="15.75" customHeight="1">
      <c r="A719" t="s">
        <v>14</v>
      </c>
      <c r="B719" t="s">
        <v>15</v>
      </c>
      <c r="C719" s="9">
        <v>46245.0</v>
      </c>
      <c r="H719" s="2"/>
      <c r="Z719" s="3"/>
    </row>
    <row r="720" ht="15.75" customHeight="1">
      <c r="A720" s="6" t="s">
        <v>17</v>
      </c>
      <c r="B720" s="6">
        <v>9880.0</v>
      </c>
      <c r="H720" s="2"/>
      <c r="Z720" s="3"/>
    </row>
    <row r="721" ht="15.75" customHeight="1">
      <c r="A721" s="10">
        <v>105.0</v>
      </c>
      <c r="B721" s="6">
        <v>91.25</v>
      </c>
      <c r="H721" s="2"/>
      <c r="Z721" s="3"/>
    </row>
    <row r="722" ht="15.75" customHeight="1">
      <c r="A722" s="11" t="str">
        <f>$B$687</f>
        <v> $ 92.35 </v>
      </c>
      <c r="B722" s="11" t="str">
        <f>$A$687</f>
        <v> $ 80.65 </v>
      </c>
      <c r="C722">
        <v>200.0</v>
      </c>
      <c r="D722" t="s">
        <v>0</v>
      </c>
      <c r="H722" s="2"/>
      <c r="Z722" s="3"/>
    </row>
    <row r="723" ht="15.75" customHeight="1">
      <c r="A723" s="6" t="str">
        <f>(A722-A721)*C723</f>
        <v>-2530</v>
      </c>
      <c r="B723" s="6" t="str">
        <f>(B721-B722)*C722</f>
        <v>2120</v>
      </c>
      <c r="C723">
        <v>200.0</v>
      </c>
      <c r="D723" t="s">
        <v>16</v>
      </c>
      <c r="E723" s="11" t="str">
        <f>A723</f>
        <v>-$ 2,530.00 </v>
      </c>
      <c r="F723" s="6" t="str">
        <f>(B723+A723)</f>
        <v>-410</v>
      </c>
      <c r="G723" t="str">
        <f>IF(F723&gt;0, "TRADE","H")</f>
        <v>H</v>
      </c>
      <c r="H723" s="2"/>
      <c r="Z723" s="3"/>
    </row>
    <row r="724" ht="15.75" customHeight="1">
      <c r="A724" t="s">
        <v>14</v>
      </c>
      <c r="B724" t="s">
        <v>15</v>
      </c>
      <c r="C724" s="9">
        <v>46281.0</v>
      </c>
      <c r="H724" s="2"/>
      <c r="Z724" s="3"/>
    </row>
    <row r="725" ht="15.75" customHeight="1">
      <c r="A725" s="6" t="s">
        <v>17</v>
      </c>
      <c r="B725" s="6">
        <v>9880.0</v>
      </c>
      <c r="H725" s="2"/>
      <c r="Z725" s="3"/>
    </row>
    <row r="726" ht="15.75" customHeight="1">
      <c r="A726" s="10">
        <v>88.3</v>
      </c>
      <c r="B726" s="6">
        <v>77.7</v>
      </c>
      <c r="H726" s="2"/>
      <c r="Z726" s="3"/>
    </row>
    <row r="727" ht="15.75" customHeight="1">
      <c r="A727" s="11" t="str">
        <f>$B$687</f>
        <v> $ 92.35 </v>
      </c>
      <c r="B727" s="11" t="str">
        <f>$A$687</f>
        <v> $ 80.65 </v>
      </c>
      <c r="C727">
        <v>200.0</v>
      </c>
      <c r="D727" t="s">
        <v>0</v>
      </c>
      <c r="H727" s="2"/>
      <c r="Z727" s="3"/>
    </row>
    <row r="728" ht="15.75" customHeight="1">
      <c r="A728" s="6" t="str">
        <f>(A727-A726)*C728</f>
        <v>810</v>
      </c>
      <c r="B728" s="6" t="str">
        <f>(B726-B727)*C727</f>
        <v>-590</v>
      </c>
      <c r="C728">
        <v>200.0</v>
      </c>
      <c r="D728" t="s">
        <v>16</v>
      </c>
      <c r="E728" s="11" t="str">
        <f>A728</f>
        <v> $ 810.00 </v>
      </c>
      <c r="F728" s="6" t="str">
        <f>(B728+A728)</f>
        <v>220</v>
      </c>
      <c r="G728" t="str">
        <f>IF(F728&gt;0, "TRADE","H")</f>
        <v>TRADE</v>
      </c>
      <c r="H728" s="2"/>
      <c r="Z728" s="3"/>
    </row>
    <row r="729" ht="15.75" customHeight="1">
      <c r="A729" t="s">
        <v>14</v>
      </c>
      <c r="B729" t="s">
        <v>15</v>
      </c>
      <c r="C729" s="9">
        <v>46287.0</v>
      </c>
      <c r="H729" s="2"/>
      <c r="Z729" s="3"/>
    </row>
    <row r="730" ht="15.75" customHeight="1">
      <c r="A730" s="6">
        <v>9880.0</v>
      </c>
      <c r="B730" s="6" t="s">
        <v>17</v>
      </c>
      <c r="H730" s="2"/>
      <c r="Z730" s="3"/>
    </row>
    <row r="731" ht="15.75" customHeight="1">
      <c r="A731" s="10">
        <v>80.65</v>
      </c>
      <c r="B731" s="6">
        <v>91.4</v>
      </c>
      <c r="H731" s="2"/>
      <c r="Z731" s="3"/>
    </row>
    <row r="732" ht="15.75" customHeight="1">
      <c r="A732" s="11" t="str">
        <f>$A$687</f>
        <v> $ 80.65 </v>
      </c>
      <c r="B732" s="11" t="str">
        <f>$B$687</f>
        <v> $ 92.35 </v>
      </c>
      <c r="C732">
        <v>200.0</v>
      </c>
      <c r="D732" t="s">
        <v>0</v>
      </c>
      <c r="H732" s="2"/>
      <c r="Z732" s="3"/>
    </row>
    <row r="733" ht="15.75" customHeight="1">
      <c r="A733" s="6" t="str">
        <f>(A732-A731)*C733</f>
        <v>0</v>
      </c>
      <c r="B733" s="6" t="str">
        <f>(B731-B732)*C732</f>
        <v>-190</v>
      </c>
      <c r="C733">
        <v>200.0</v>
      </c>
      <c r="D733" t="s">
        <v>16</v>
      </c>
      <c r="E733" s="11" t="str">
        <f>A733</f>
        <v> $ -   </v>
      </c>
      <c r="F733" s="6" t="str">
        <f>(B733+A733)</f>
        <v>-190</v>
      </c>
      <c r="G733" t="str">
        <f>IF(F733&gt;0, "TRADE","H")</f>
        <v>H</v>
      </c>
      <c r="H733" s="2"/>
      <c r="Z733" s="3"/>
    </row>
    <row r="734" ht="15.75" customHeight="1">
      <c r="A734" t="s">
        <v>14</v>
      </c>
      <c r="B734" t="s">
        <v>15</v>
      </c>
      <c r="C734" s="9">
        <v>46274.0</v>
      </c>
      <c r="H734" s="2"/>
      <c r="Z734" s="3"/>
    </row>
    <row r="735" ht="15.75" customHeight="1">
      <c r="A735" s="6">
        <v>9880.0</v>
      </c>
      <c r="B735" s="6" t="s">
        <v>17</v>
      </c>
      <c r="H735" s="2"/>
      <c r="Z735" s="3"/>
    </row>
    <row r="736" ht="15.75" customHeight="1">
      <c r="A736" s="10">
        <v>84.3</v>
      </c>
      <c r="B736" s="6">
        <v>92.1</v>
      </c>
      <c r="H736" s="2"/>
      <c r="Z736" s="3"/>
    </row>
    <row r="737" ht="15.75" customHeight="1">
      <c r="A737" s="11" t="str">
        <f>$A$687</f>
        <v> $ 80.65 </v>
      </c>
      <c r="B737" s="11" t="str">
        <f>$B$687</f>
        <v> $ 92.35 </v>
      </c>
      <c r="C737">
        <v>200.0</v>
      </c>
      <c r="D737" t="s">
        <v>0</v>
      </c>
      <c r="H737" s="2"/>
      <c r="Z737" s="3"/>
    </row>
    <row r="738" ht="15.75" customHeight="1">
      <c r="A738" s="6" t="str">
        <f>(A737-A736)*C738</f>
        <v>-730</v>
      </c>
      <c r="B738" s="6" t="str">
        <f>(B736-B737)*C737</f>
        <v>-50</v>
      </c>
      <c r="C738">
        <v>200.0</v>
      </c>
      <c r="D738" t="s">
        <v>16</v>
      </c>
      <c r="E738" s="11" t="str">
        <f>A738</f>
        <v>-$ 730.00 </v>
      </c>
      <c r="F738" s="6" t="str">
        <f>(B738+A738)</f>
        <v>-780</v>
      </c>
      <c r="G738" t="str">
        <f>IF(F738&gt;0, "TRADE","H")</f>
        <v>H</v>
      </c>
      <c r="H738" s="2"/>
      <c r="Z738" s="3"/>
    </row>
    <row r="739" ht="15.75" customHeight="1">
      <c r="A739" t="s">
        <v>14</v>
      </c>
      <c r="B739" t="s">
        <v>15</v>
      </c>
      <c r="C739" s="9">
        <v>46273.0</v>
      </c>
      <c r="H739" s="2"/>
      <c r="Z739" s="3"/>
    </row>
    <row r="740" ht="15.75" customHeight="1">
      <c r="A740" s="6">
        <v>9880.0</v>
      </c>
      <c r="B740" s="6" t="s">
        <v>17</v>
      </c>
      <c r="H740" s="2"/>
      <c r="Z740" s="3"/>
    </row>
    <row r="741" ht="15.75" customHeight="1">
      <c r="A741" s="10">
        <v>84.85</v>
      </c>
      <c r="B741" s="6">
        <v>90.0</v>
      </c>
      <c r="H741" s="2"/>
      <c r="Z741" s="3"/>
    </row>
    <row r="742" ht="15.75" customHeight="1">
      <c r="A742" s="11" t="str">
        <f>$A$687</f>
        <v> $ 80.65 </v>
      </c>
      <c r="B742" s="11" t="str">
        <f>$B$687</f>
        <v> $ 92.35 </v>
      </c>
      <c r="C742">
        <v>200.0</v>
      </c>
      <c r="D742" t="s">
        <v>0</v>
      </c>
      <c r="H742" s="2"/>
      <c r="Z742" s="3"/>
    </row>
    <row r="743" ht="15.75" customHeight="1">
      <c r="A743" s="6" t="str">
        <f>(A742-A741)*C743</f>
        <v>-840</v>
      </c>
      <c r="B743" s="6" t="str">
        <f>(B741-B742)*C742</f>
        <v>-470</v>
      </c>
      <c r="C743">
        <v>200.0</v>
      </c>
      <c r="D743" t="s">
        <v>16</v>
      </c>
      <c r="E743" s="11" t="str">
        <f>A743</f>
        <v>-$ 840.00 </v>
      </c>
      <c r="F743" s="6" t="str">
        <f>(B743+A743)</f>
        <v>-1310</v>
      </c>
      <c r="G743" t="str">
        <f>IF(F743&gt;0, "TRADE","H")</f>
        <v>H</v>
      </c>
      <c r="H743" s="2"/>
      <c r="Z743" s="3"/>
    </row>
    <row r="744" ht="15.75" customHeight="1">
      <c r="A744" t="s">
        <v>14</v>
      </c>
      <c r="B744" t="s">
        <v>15</v>
      </c>
      <c r="C744" s="9">
        <v>46253.0</v>
      </c>
      <c r="H744" s="2"/>
      <c r="Z744" s="3"/>
    </row>
    <row r="745" ht="15.75" customHeight="1">
      <c r="A745" s="6">
        <v>9880.0</v>
      </c>
      <c r="B745" s="6" t="s">
        <v>17</v>
      </c>
      <c r="H745" s="2"/>
      <c r="Z745" s="3"/>
    </row>
    <row r="746" ht="15.75" customHeight="1">
      <c r="A746" s="10">
        <v>86.75</v>
      </c>
      <c r="B746" s="6">
        <v>87.85</v>
      </c>
      <c r="H746" s="2"/>
      <c r="Z746" s="3"/>
    </row>
    <row r="747" ht="15.75" customHeight="1">
      <c r="A747" s="11" t="str">
        <f>$A$687</f>
        <v> $ 80.65 </v>
      </c>
      <c r="B747" s="11" t="str">
        <f>$B$687</f>
        <v> $ 92.35 </v>
      </c>
      <c r="C747">
        <v>200.0</v>
      </c>
      <c r="D747" t="s">
        <v>0</v>
      </c>
      <c r="H747" s="2"/>
      <c r="Z747" s="3"/>
    </row>
    <row r="748" ht="15.75" customHeight="1">
      <c r="A748" s="6" t="str">
        <f>(A747-A746)*C748</f>
        <v>-1220</v>
      </c>
      <c r="B748" s="6" t="str">
        <f>(B746-B747)*C747</f>
        <v>-900</v>
      </c>
      <c r="C748">
        <v>200.0</v>
      </c>
      <c r="D748" t="s">
        <v>16</v>
      </c>
      <c r="E748" s="11" t="str">
        <f>A748</f>
        <v>-$ 1,220.00 </v>
      </c>
      <c r="F748" s="6" t="str">
        <f>(B748+A748)</f>
        <v>-2120</v>
      </c>
      <c r="G748" t="str">
        <f>IF(F748&gt;0, "TRADE","H")</f>
        <v>H</v>
      </c>
      <c r="H748" s="2"/>
      <c r="Z748" s="3"/>
    </row>
    <row r="749" ht="15.75" customHeight="1">
      <c r="A749" t="s">
        <v>14</v>
      </c>
      <c r="B749" t="s">
        <v>15</v>
      </c>
      <c r="C749" s="9">
        <v>46077.0</v>
      </c>
      <c r="H749" s="2"/>
      <c r="Z749" s="3"/>
    </row>
    <row r="750" ht="15.75" customHeight="1">
      <c r="A750" s="6">
        <v>9880.0</v>
      </c>
      <c r="B750" s="6" t="s">
        <v>17</v>
      </c>
      <c r="H750" s="2"/>
      <c r="Z750" s="3"/>
    </row>
    <row r="751" ht="15.75" customHeight="1">
      <c r="A751" s="10">
        <v>129.4</v>
      </c>
      <c r="B751" s="6">
        <v>129.5</v>
      </c>
      <c r="H751" s="2"/>
      <c r="Z751" s="3"/>
    </row>
    <row r="752" ht="15.75" customHeight="1">
      <c r="A752" s="11" t="str">
        <f>$A$687</f>
        <v> $ 80.65 </v>
      </c>
      <c r="B752" s="11" t="str">
        <f>$B$687</f>
        <v> $ 92.35 </v>
      </c>
      <c r="C752" s="12">
        <v>300.0</v>
      </c>
      <c r="D752" t="s">
        <v>0</v>
      </c>
      <c r="H752" s="2"/>
      <c r="Z752" s="3"/>
    </row>
    <row r="753" ht="15.75" customHeight="1">
      <c r="A753" s="6" t="str">
        <f>(A752-A751)*C753</f>
        <v>-14625</v>
      </c>
      <c r="B753" s="6" t="str">
        <f>(B751-B752)*C752</f>
        <v>11145</v>
      </c>
      <c r="C753" s="12">
        <v>300.0</v>
      </c>
      <c r="D753" t="s">
        <v>16</v>
      </c>
      <c r="E753" s="11" t="str">
        <f>A753</f>
        <v>-$ 14,625.00 </v>
      </c>
      <c r="F753" s="6" t="str">
        <f>(B753+A753)</f>
        <v>-3480</v>
      </c>
      <c r="G753" t="str">
        <f>IF(F753&gt;0, "TRADE","H")</f>
        <v>H</v>
      </c>
      <c r="H753" s="2"/>
      <c r="Z753" s="3"/>
    </row>
    <row r="754" ht="15.75" customHeight="1">
      <c r="A754" t="s">
        <v>14</v>
      </c>
      <c r="B754" t="s">
        <v>15</v>
      </c>
      <c r="C754" s="9">
        <v>46076.0</v>
      </c>
      <c r="H754" s="2"/>
      <c r="Z754" s="3"/>
    </row>
    <row r="755" ht="15.75" customHeight="1">
      <c r="A755" s="6">
        <v>9880.0</v>
      </c>
      <c r="B755" s="6" t="s">
        <v>17</v>
      </c>
      <c r="H755" s="2"/>
      <c r="Z755" s="3"/>
    </row>
    <row r="756" ht="15.75" customHeight="1">
      <c r="A756" s="10">
        <v>143.1</v>
      </c>
      <c r="B756" s="6">
        <v>133.5</v>
      </c>
      <c r="H756" s="2"/>
      <c r="Z756" s="3"/>
    </row>
    <row r="757" ht="15.75" customHeight="1">
      <c r="A757" s="11" t="str">
        <f>$A$687</f>
        <v> $ 80.65 </v>
      </c>
      <c r="B757" s="11" t="str">
        <f>$B$687</f>
        <v> $ 92.35 </v>
      </c>
      <c r="C757">
        <v>200.0</v>
      </c>
      <c r="D757" t="s">
        <v>0</v>
      </c>
      <c r="H757" s="2"/>
      <c r="Z757" s="3"/>
    </row>
    <row r="758" ht="15.75" customHeight="1">
      <c r="A758" s="6" t="str">
        <f>(A757-A756)*C758</f>
        <v>-12490</v>
      </c>
      <c r="B758" s="6" t="str">
        <f>(B756-B757)*C757</f>
        <v>8230</v>
      </c>
      <c r="C758">
        <v>200.0</v>
      </c>
      <c r="D758" t="s">
        <v>16</v>
      </c>
      <c r="E758" s="11" t="str">
        <f>A758</f>
        <v>-$ 12,490.00 </v>
      </c>
      <c r="F758" s="6" t="str">
        <f>(B758+A758)</f>
        <v>-4260</v>
      </c>
      <c r="G758" t="str">
        <f>IF(F758&gt;0, "TRADE","H")</f>
        <v>H</v>
      </c>
      <c r="H758" s="2"/>
      <c r="Z758" s="3"/>
    </row>
    <row r="759" ht="15.75" customHeight="1">
      <c r="A759" t="s">
        <v>14</v>
      </c>
      <c r="B759" t="s">
        <v>15</v>
      </c>
      <c r="C759" s="9">
        <v>46076.0</v>
      </c>
      <c r="H759" s="2"/>
      <c r="Z759" s="3"/>
    </row>
    <row r="760" ht="15.75" customHeight="1">
      <c r="A760" s="6">
        <v>9880.0</v>
      </c>
      <c r="B760" s="6" t="s">
        <v>17</v>
      </c>
      <c r="H760" s="2"/>
      <c r="Z760" s="3"/>
    </row>
    <row r="761" ht="15.75" customHeight="1">
      <c r="A761" s="10">
        <v>143.8</v>
      </c>
      <c r="B761" s="6">
        <v>132.8</v>
      </c>
      <c r="H761" s="2"/>
      <c r="Z761" s="3"/>
    </row>
    <row r="762" ht="15.75" customHeight="1">
      <c r="A762" s="11" t="str">
        <f>$A$687</f>
        <v> $ 80.65 </v>
      </c>
      <c r="B762" s="11" t="str">
        <f>$B$687</f>
        <v> $ 92.35 </v>
      </c>
      <c r="C762">
        <v>200.0</v>
      </c>
      <c r="D762" t="s">
        <v>0</v>
      </c>
      <c r="H762" s="2"/>
      <c r="Z762" s="3"/>
    </row>
    <row r="763" ht="15.75" customHeight="1">
      <c r="A763" s="6" t="str">
        <f>(A762-A761)*C763</f>
        <v>-12630</v>
      </c>
      <c r="B763" s="6" t="str">
        <f>(B761-B762)*C762</f>
        <v>8090</v>
      </c>
      <c r="C763">
        <v>200.0</v>
      </c>
      <c r="D763" t="s">
        <v>16</v>
      </c>
      <c r="E763" s="11" t="str">
        <f>A763</f>
        <v>-$ 12,630.00 </v>
      </c>
      <c r="F763" s="6" t="str">
        <f>(B763+A763)</f>
        <v>-4540</v>
      </c>
      <c r="G763" t="str">
        <f>IF(F763&gt;0, "TRADE","H")</f>
        <v>H</v>
      </c>
      <c r="H763" s="2"/>
      <c r="Z763" s="3"/>
    </row>
    <row r="764" ht="15.75" customHeight="1">
      <c r="A764" t="s">
        <v>14</v>
      </c>
      <c r="B764" t="s">
        <v>15</v>
      </c>
      <c r="C764" s="9">
        <v>46073.0</v>
      </c>
      <c r="H764" s="2"/>
      <c r="Z764" s="3"/>
    </row>
    <row r="765" ht="15.75" customHeight="1">
      <c r="A765" s="6">
        <v>9880.0</v>
      </c>
      <c r="B765" s="6" t="s">
        <v>17</v>
      </c>
      <c r="H765" s="2"/>
      <c r="Z765" s="3"/>
    </row>
    <row r="766" ht="15.75" customHeight="1">
      <c r="A766" s="10">
        <v>144.6</v>
      </c>
      <c r="B766" s="6">
        <v>130.2</v>
      </c>
      <c r="H766" s="2"/>
      <c r="Z766" s="3"/>
    </row>
    <row r="767" ht="15.75" customHeight="1">
      <c r="A767" s="11" t="str">
        <f>$A$687</f>
        <v> $ 80.65 </v>
      </c>
      <c r="B767" s="11" t="str">
        <f>$B$687</f>
        <v> $ 92.35 </v>
      </c>
      <c r="C767">
        <v>200.0</v>
      </c>
      <c r="D767" t="s">
        <v>0</v>
      </c>
      <c r="H767" s="2"/>
      <c r="Z767" s="3"/>
    </row>
    <row r="768" ht="15.75" customHeight="1">
      <c r="A768" s="6" t="str">
        <f>(A767-A766)*C768</f>
        <v>-12790</v>
      </c>
      <c r="B768" s="6" t="str">
        <f>(B766-B767)*C767</f>
        <v>7570</v>
      </c>
      <c r="C768">
        <v>200.0</v>
      </c>
      <c r="D768" t="s">
        <v>16</v>
      </c>
      <c r="E768" s="11" t="str">
        <f>A768</f>
        <v>-$ 12,790.00 </v>
      </c>
      <c r="F768" s="6" t="str">
        <f>(B768+A768)</f>
        <v>-5220</v>
      </c>
      <c r="G768" t="str">
        <f>IF(F768&gt;0, "TRADE","H")</f>
        <v>H</v>
      </c>
      <c r="H768" s="2"/>
      <c r="Z768" s="3"/>
    </row>
    <row r="769" ht="15.75" customHeight="1">
      <c r="A769" t="s">
        <v>14</v>
      </c>
      <c r="B769" t="s">
        <v>15</v>
      </c>
      <c r="C769" s="9">
        <v>46073.0</v>
      </c>
      <c r="H769" s="2"/>
      <c r="Z769" s="3"/>
    </row>
    <row r="770" ht="15.75" customHeight="1">
      <c r="A770" s="6">
        <v>9880.0</v>
      </c>
      <c r="B770" s="6" t="s">
        <v>17</v>
      </c>
      <c r="H770" s="2"/>
      <c r="Z770" s="3"/>
    </row>
    <row r="771" ht="15.75" customHeight="1">
      <c r="A771" s="10">
        <v>146.6</v>
      </c>
      <c r="B771" s="6">
        <v>129.5</v>
      </c>
      <c r="H771" s="2"/>
      <c r="Z771" s="3"/>
    </row>
    <row r="772" ht="15.75" customHeight="1">
      <c r="A772" s="11" t="str">
        <f>$A$687</f>
        <v> $ 80.65 </v>
      </c>
      <c r="B772" s="11" t="str">
        <f>$B$687</f>
        <v> $ 92.35 </v>
      </c>
      <c r="C772">
        <v>200.0</v>
      </c>
      <c r="D772" t="s">
        <v>0</v>
      </c>
      <c r="H772" s="2"/>
      <c r="Z772" s="3"/>
    </row>
    <row r="773" ht="15.75" customHeight="1">
      <c r="A773" s="6" t="str">
        <f>(A772-A771)*C773</f>
        <v>-13190</v>
      </c>
      <c r="B773" s="6" t="str">
        <f>(B771-B772)*C772</f>
        <v>7430</v>
      </c>
      <c r="C773">
        <v>200.0</v>
      </c>
      <c r="D773" t="s">
        <v>16</v>
      </c>
      <c r="E773" s="11" t="str">
        <f>A773</f>
        <v>-$ 13,190.00 </v>
      </c>
      <c r="F773" s="6" t="str">
        <f>(B773+A773)</f>
        <v>-5760</v>
      </c>
      <c r="G773" t="str">
        <f>IF(F773&gt;0, "TRADE","H")</f>
        <v>H</v>
      </c>
      <c r="H773" s="2"/>
      <c r="Z773" s="3"/>
    </row>
    <row r="774" ht="15.75" customHeight="1">
      <c r="A774" t="s">
        <v>14</v>
      </c>
      <c r="B774" t="s">
        <v>15</v>
      </c>
      <c r="C774" s="9">
        <v>45713.0</v>
      </c>
      <c r="H774" s="2" t="str">
        <f t="shared" ref="H774:H775" si="20">(I774-K774)/K774-$D$371</f>
        <v>-48.75%</v>
      </c>
      <c r="I774" s="17">
        <v>0.83</v>
      </c>
      <c r="J774" s="18">
        <v>2587.0</v>
      </c>
      <c r="K774">
        <v>1.72</v>
      </c>
      <c r="O774" s="3"/>
    </row>
    <row r="775" ht="15.75" customHeight="1">
      <c r="A775" s="6">
        <v>2522.0</v>
      </c>
      <c r="B775" s="6"/>
      <c r="H775" s="2" t="str">
        <f t="shared" si="20"/>
        <v>9.08%</v>
      </c>
      <c r="I775" s="17">
        <v>5.58</v>
      </c>
      <c r="J775" s="20">
        <v>2522.0</v>
      </c>
      <c r="K775">
        <v>5.26</v>
      </c>
      <c r="M775" s="3"/>
    </row>
    <row r="776" ht="15.75" customHeight="1">
      <c r="A776" s="10">
        <v>43.0</v>
      </c>
      <c r="B776" s="6"/>
      <c r="H776" s="2" t="str">
        <f>H774-H775</f>
        <v>-57.83%</v>
      </c>
      <c r="Q776" s="3"/>
    </row>
    <row r="777" ht="15.75" customHeight="1">
      <c r="A777" s="21" t="str">
        <f>I775</f>
        <v> $ 5.58 </v>
      </c>
      <c r="B777" s="21"/>
      <c r="C777" s="12"/>
      <c r="H777" s="2"/>
      <c r="Y777" s="3"/>
    </row>
    <row r="778" ht="15.75" customHeight="1">
      <c r="A778" s="6" t="str">
        <f>(A777-A776)*C778</f>
        <v>-18710</v>
      </c>
      <c r="B778" s="11"/>
      <c r="C778" s="12">
        <v>500.0</v>
      </c>
      <c r="E778" s="11" t="str">
        <f>A778</f>
        <v>-$ 18,710.00 </v>
      </c>
      <c r="F778" s="11" t="str">
        <f>(B778+A778)</f>
        <v>-$ 18,710.00 </v>
      </c>
      <c r="G778" t="str">
        <f>IF(F778&gt;0, "TRADE","H")</f>
        <v>H</v>
      </c>
      <c r="H778" s="2"/>
      <c r="Y778" s="3"/>
    </row>
    <row r="779" ht="15.75" customHeight="1">
      <c r="A779" t="s">
        <v>14</v>
      </c>
      <c r="B779" t="s">
        <v>15</v>
      </c>
      <c r="C779" s="9">
        <v>45996.0</v>
      </c>
      <c r="K779" s="3"/>
    </row>
    <row r="780" ht="15.75" customHeight="1">
      <c r="A780" s="6">
        <v>2522.0</v>
      </c>
      <c r="B780" s="6">
        <v>2587.0</v>
      </c>
      <c r="I780" s="3"/>
    </row>
    <row r="781" ht="15.75" customHeight="1">
      <c r="A781" s="10">
        <v>10.65</v>
      </c>
      <c r="B781" s="6">
        <v>4.93</v>
      </c>
      <c r="M781" s="3"/>
    </row>
    <row r="782" ht="15.75" customHeight="1">
      <c r="A782" s="11" t="str">
        <f>$A$882</f>
        <v> $ 5.58 </v>
      </c>
      <c r="B782" s="11" t="str">
        <f>$B$882</f>
        <v> $ 0.83 </v>
      </c>
      <c r="C782" s="12">
        <v>500.0</v>
      </c>
      <c r="H782" s="2"/>
      <c r="Y782" s="3"/>
    </row>
    <row r="783" ht="15.75" customHeight="1">
      <c r="A783" s="6" t="str">
        <f>(A782-A781)*C783</f>
        <v>-2535</v>
      </c>
      <c r="B783" s="11" t="str">
        <f>C782*(B781-B782)</f>
        <v> $ 2,050.00 </v>
      </c>
      <c r="C783" s="12">
        <v>500.0</v>
      </c>
      <c r="E783" s="11" t="str">
        <f>A783</f>
        <v>-$ 2,535.00 </v>
      </c>
      <c r="F783" s="11" t="str">
        <f>(B783+A783)</f>
        <v>-$ 485.00 </v>
      </c>
      <c r="G783" t="str">
        <f>IF(F783&gt;0, "TRADE","H")</f>
        <v>H</v>
      </c>
      <c r="H783" s="2"/>
      <c r="Y783" s="3"/>
    </row>
    <row r="784" ht="15.75" customHeight="1">
      <c r="A784" t="s">
        <v>14</v>
      </c>
      <c r="B784" t="s">
        <v>15</v>
      </c>
      <c r="C784" s="9">
        <v>46286.0</v>
      </c>
      <c r="K784" s="3"/>
    </row>
    <row r="785" ht="15.75" customHeight="1">
      <c r="A785" s="6">
        <v>2587.0</v>
      </c>
      <c r="B785" s="6">
        <v>2522.0</v>
      </c>
      <c r="I785" s="3"/>
    </row>
    <row r="786" ht="15.75" customHeight="1">
      <c r="A786" s="10">
        <v>0.83</v>
      </c>
      <c r="B786" s="6">
        <v>5.58</v>
      </c>
      <c r="M786" s="3"/>
    </row>
    <row r="787" ht="15.75" customHeight="1">
      <c r="A787" s="11" t="str">
        <f>$B$882</f>
        <v> $ 0.83 </v>
      </c>
      <c r="B787" s="11" t="str">
        <f>$A$882</f>
        <v> $ 5.58 </v>
      </c>
      <c r="C787" s="12">
        <v>500.0</v>
      </c>
      <c r="H787" s="2"/>
      <c r="Y787" s="3"/>
    </row>
    <row r="788" ht="15.75" customHeight="1">
      <c r="A788" s="6" t="str">
        <f>(A787-A786)*C788</f>
        <v>0</v>
      </c>
      <c r="B788" s="11" t="str">
        <f>C787*(B786-B787)</f>
        <v> $ -   </v>
      </c>
      <c r="C788" s="12">
        <v>500.0</v>
      </c>
      <c r="E788" s="11" t="str">
        <f>A788</f>
        <v> $ -   </v>
      </c>
      <c r="F788" s="11" t="str">
        <f>(B788+A788)</f>
        <v> $ -   </v>
      </c>
      <c r="G788" t="str">
        <f>IF(F788&gt;0, "TRADE","H")</f>
        <v>H</v>
      </c>
      <c r="H788" s="2"/>
      <c r="Y788" s="3"/>
    </row>
    <row r="789" ht="15.75" customHeight="1">
      <c r="A789" t="s">
        <v>14</v>
      </c>
      <c r="B789" t="s">
        <v>15</v>
      </c>
      <c r="C789" s="9">
        <v>46282.0</v>
      </c>
      <c r="K789" s="3"/>
    </row>
    <row r="790" ht="15.75" customHeight="1">
      <c r="A790" s="6">
        <v>2587.0</v>
      </c>
      <c r="B790" s="6">
        <v>2522.0</v>
      </c>
      <c r="I790" s="3"/>
    </row>
    <row r="791" ht="15.75" customHeight="1">
      <c r="A791" s="10">
        <v>0.855</v>
      </c>
      <c r="B791" s="6">
        <v>5.16</v>
      </c>
      <c r="M791" s="3"/>
    </row>
    <row r="792" ht="15.75" customHeight="1">
      <c r="A792" s="11" t="str">
        <f>$B$882</f>
        <v> $ 0.83 </v>
      </c>
      <c r="B792" s="11" t="str">
        <f>$A$882</f>
        <v> $ 5.58 </v>
      </c>
      <c r="C792" s="12">
        <v>500.0</v>
      </c>
      <c r="H792" s="2"/>
      <c r="Y792" s="3"/>
    </row>
    <row r="793" ht="15.75" customHeight="1">
      <c r="A793" s="6" t="str">
        <f>(A792-A791)*C793</f>
        <v>-12.5</v>
      </c>
      <c r="B793" s="11" t="str">
        <f>C792*(B791-B792)</f>
        <v>-$ 210.00 </v>
      </c>
      <c r="C793" s="12">
        <v>500.0</v>
      </c>
      <c r="E793" s="11" t="str">
        <f>A793</f>
        <v>-$ 12.50 </v>
      </c>
      <c r="F793" s="11" t="str">
        <f>(B793+A793)</f>
        <v>-$ 222.50 </v>
      </c>
      <c r="G793" t="str">
        <f>IF(F793&gt;0, "TRADE","H")</f>
        <v>H</v>
      </c>
      <c r="H793" s="2"/>
      <c r="Y793" s="3"/>
    </row>
    <row r="794" ht="15.75" customHeight="1">
      <c r="A794" t="s">
        <v>14</v>
      </c>
      <c r="B794" t="s">
        <v>15</v>
      </c>
      <c r="C794" s="9">
        <v>46274.0</v>
      </c>
      <c r="K794" s="3"/>
    </row>
    <row r="795" ht="15.75" customHeight="1">
      <c r="A795" s="6">
        <v>2587.0</v>
      </c>
      <c r="B795" s="6">
        <v>2522.0</v>
      </c>
      <c r="I795" s="3"/>
    </row>
    <row r="796" ht="15.75" customHeight="1">
      <c r="A796" s="10">
        <v>1.04</v>
      </c>
      <c r="B796" s="6">
        <v>5.205</v>
      </c>
      <c r="M796" s="3"/>
    </row>
    <row r="797" ht="15.75" customHeight="1">
      <c r="A797" s="11" t="str">
        <f>$B$882</f>
        <v> $ 0.83 </v>
      </c>
      <c r="B797" s="11" t="str">
        <f>$A$882</f>
        <v> $ 5.58 </v>
      </c>
      <c r="C797" s="12">
        <v>500.0</v>
      </c>
      <c r="H797" s="2"/>
      <c r="Y797" s="3"/>
    </row>
    <row r="798" ht="15.75" customHeight="1">
      <c r="A798" s="6" t="str">
        <f>(A797-A796)*C798</f>
        <v>-105</v>
      </c>
      <c r="B798" s="11" t="str">
        <f>C797*(B796-B797)</f>
        <v>-$ 187.50 </v>
      </c>
      <c r="C798" s="12">
        <v>500.0</v>
      </c>
      <c r="E798" s="11" t="str">
        <f>A798</f>
        <v>-$ 105.00 </v>
      </c>
      <c r="F798" s="11" t="str">
        <f>(B798+A798)</f>
        <v>-$ 292.50 </v>
      </c>
      <c r="G798" t="str">
        <f>IF(F798&gt;0, "TRADE","H")</f>
        <v>H</v>
      </c>
      <c r="H798" s="2"/>
      <c r="Y798" s="3"/>
    </row>
    <row r="799" ht="15.75" customHeight="1">
      <c r="A799" t="s">
        <v>14</v>
      </c>
      <c r="B799" t="s">
        <v>15</v>
      </c>
      <c r="C799" s="9">
        <v>46274.0</v>
      </c>
      <c r="K799" s="3"/>
    </row>
    <row r="800" ht="15.75" customHeight="1">
      <c r="A800" s="6">
        <v>2587.0</v>
      </c>
      <c r="B800" s="6">
        <v>2522.0</v>
      </c>
      <c r="I800" s="3"/>
    </row>
    <row r="801" ht="15.75" customHeight="1">
      <c r="A801" s="10">
        <v>1.065</v>
      </c>
      <c r="B801" s="6">
        <v>5.015</v>
      </c>
      <c r="M801" s="3"/>
    </row>
    <row r="802" ht="15.75" customHeight="1">
      <c r="A802" s="11" t="str">
        <f>$B$882</f>
        <v> $ 0.83 </v>
      </c>
      <c r="B802" s="11" t="str">
        <f>$A$882</f>
        <v> $ 5.58 </v>
      </c>
      <c r="C802" s="12">
        <v>500.0</v>
      </c>
      <c r="H802" s="2"/>
      <c r="Y802" s="3"/>
    </row>
    <row r="803" ht="15.75" customHeight="1">
      <c r="A803" s="6" t="str">
        <f>(A802-A801)*C803</f>
        <v>-117.5</v>
      </c>
      <c r="B803" s="11" t="str">
        <f>C802*(B801-B802)</f>
        <v>-$ 282.50 </v>
      </c>
      <c r="C803" s="12">
        <v>500.0</v>
      </c>
      <c r="E803" s="11" t="str">
        <f>A803</f>
        <v>-$ 117.50 </v>
      </c>
      <c r="F803" s="11" t="str">
        <f>(B803+A803)</f>
        <v>-$ 400.00 </v>
      </c>
      <c r="G803" t="str">
        <f>IF(F803&gt;0, "TRADE","H")</f>
        <v>H</v>
      </c>
      <c r="H803" s="2"/>
      <c r="Y803" s="3"/>
    </row>
    <row r="804" ht="15.75" customHeight="1">
      <c r="A804" t="s">
        <v>14</v>
      </c>
      <c r="B804" t="s">
        <v>15</v>
      </c>
      <c r="C804" s="9">
        <v>46261.0</v>
      </c>
      <c r="K804" s="3"/>
    </row>
    <row r="805" ht="15.75" customHeight="1">
      <c r="A805" s="6">
        <v>2587.0</v>
      </c>
      <c r="B805" s="6">
        <v>2522.0</v>
      </c>
      <c r="I805" s="3"/>
    </row>
    <row r="806" ht="15.75" customHeight="1">
      <c r="A806" s="10">
        <v>1.65</v>
      </c>
      <c r="B806" s="6">
        <v>5.185</v>
      </c>
      <c r="M806" s="3"/>
    </row>
    <row r="807" ht="15.75" customHeight="1">
      <c r="A807" s="11" t="str">
        <f>$B$882</f>
        <v> $ 0.83 </v>
      </c>
      <c r="B807" s="11" t="str">
        <f>$A$882</f>
        <v> $ 5.58 </v>
      </c>
      <c r="C807" s="12">
        <v>500.0</v>
      </c>
      <c r="H807" s="2"/>
      <c r="Y807" s="3"/>
    </row>
    <row r="808" ht="15.75" customHeight="1">
      <c r="A808" s="6" t="str">
        <f>(A807-A806)*C808</f>
        <v>-410</v>
      </c>
      <c r="B808" s="11" t="str">
        <f>C807*(B806-B807)</f>
        <v>-$ 197.50 </v>
      </c>
      <c r="C808" s="12">
        <v>500.0</v>
      </c>
      <c r="E808" s="11" t="str">
        <f>A808</f>
        <v>-$ 410.00 </v>
      </c>
      <c r="F808" s="11" t="str">
        <f>(B808+A808)</f>
        <v>-$ 607.50 </v>
      </c>
      <c r="G808" t="str">
        <f>IF(F808&gt;0, "TRADE","H")</f>
        <v>H</v>
      </c>
      <c r="H808" s="2"/>
      <c r="Y808" s="3"/>
    </row>
    <row r="809" ht="15.75" customHeight="1">
      <c r="A809" t="s">
        <v>14</v>
      </c>
      <c r="B809" t="s">
        <v>15</v>
      </c>
      <c r="C809" s="9">
        <v>46256.0</v>
      </c>
      <c r="K809" s="3"/>
    </row>
    <row r="810" ht="15.75" customHeight="1">
      <c r="A810" s="6">
        <v>2587.0</v>
      </c>
      <c r="B810" s="6">
        <v>2522.0</v>
      </c>
      <c r="I810" s="3"/>
    </row>
    <row r="811" ht="15.75" customHeight="1">
      <c r="A811" s="10">
        <v>1.845</v>
      </c>
      <c r="B811" s="6">
        <v>4.565</v>
      </c>
      <c r="M811" s="3"/>
    </row>
    <row r="812" ht="15.75" customHeight="1">
      <c r="A812" s="11" t="str">
        <f>$B$882</f>
        <v> $ 0.83 </v>
      </c>
      <c r="B812" s="11" t="str">
        <f>$A$882</f>
        <v> $ 5.58 </v>
      </c>
      <c r="C812" s="12">
        <v>500.0</v>
      </c>
      <c r="H812" s="2"/>
      <c r="Y812" s="3"/>
    </row>
    <row r="813" ht="15.75" customHeight="1">
      <c r="A813" s="6" t="str">
        <f>(A812-A811)*C813</f>
        <v>-507.5</v>
      </c>
      <c r="B813" s="11" t="str">
        <f>C812*(B811-B812)</f>
        <v>-$ 507.50 </v>
      </c>
      <c r="C813" s="12">
        <v>500.0</v>
      </c>
      <c r="E813" s="11" t="str">
        <f>A813</f>
        <v>-$ 507.50 </v>
      </c>
      <c r="F813" s="11" t="str">
        <f>(B813+A813)</f>
        <v>-$ 1,015.00 </v>
      </c>
      <c r="G813" t="str">
        <f>IF(F813&gt;0, "TRADE","H")</f>
        <v>H</v>
      </c>
      <c r="H813" s="2"/>
      <c r="Y813" s="3"/>
    </row>
    <row r="814" ht="15.75" customHeight="1">
      <c r="A814" t="s">
        <v>14</v>
      </c>
      <c r="B814" t="s">
        <v>15</v>
      </c>
      <c r="C814" s="9">
        <v>46127.0</v>
      </c>
      <c r="K814" s="3"/>
    </row>
    <row r="815" ht="15.75" customHeight="1">
      <c r="A815" s="6">
        <v>2587.0</v>
      </c>
      <c r="B815" s="6">
        <v>2522.0</v>
      </c>
      <c r="I815" s="3"/>
    </row>
    <row r="816" ht="15.75" customHeight="1">
      <c r="A816" s="10">
        <v>4.82</v>
      </c>
      <c r="B816" s="6">
        <v>6.57</v>
      </c>
      <c r="M816" s="3"/>
    </row>
    <row r="817" ht="15.75" customHeight="1">
      <c r="A817" s="11" t="str">
        <f>$B$882</f>
        <v> $ 0.83 </v>
      </c>
      <c r="B817" s="11" t="str">
        <f>$A$882</f>
        <v> $ 5.58 </v>
      </c>
      <c r="C817" s="12">
        <v>500.0</v>
      </c>
      <c r="H817" s="2"/>
      <c r="Y817" s="3"/>
    </row>
    <row r="818" ht="15.75" customHeight="1">
      <c r="A818" s="6" t="str">
        <f>(A817-A816)*C818</f>
        <v>-1995</v>
      </c>
      <c r="B818" s="11" t="str">
        <f>C817*(B816-B817)</f>
        <v> $ 495.00 </v>
      </c>
      <c r="C818" s="12">
        <v>500.0</v>
      </c>
      <c r="E818" s="11" t="str">
        <f>A818</f>
        <v>-$ 1,995.00 </v>
      </c>
      <c r="F818" s="11" t="str">
        <f>(B818+A818)</f>
        <v>-$ 1,500.00 </v>
      </c>
      <c r="G818" t="str">
        <f>IF(F818&gt;0, "TRADE","H")</f>
        <v>H</v>
      </c>
      <c r="H818" s="2"/>
      <c r="Y818" s="3"/>
    </row>
    <row r="819" ht="15.75" customHeight="1">
      <c r="A819" t="s">
        <v>14</v>
      </c>
      <c r="B819" t="s">
        <v>15</v>
      </c>
      <c r="C819" s="9">
        <v>45834.0</v>
      </c>
      <c r="K819" s="3"/>
    </row>
    <row r="820" ht="15.75" customHeight="1">
      <c r="A820" s="6">
        <v>2587.0</v>
      </c>
      <c r="B820" s="6">
        <v>2522.0</v>
      </c>
      <c r="I820" s="3"/>
    </row>
    <row r="821" ht="15.75" customHeight="1">
      <c r="A821" s="10">
        <v>4.75</v>
      </c>
      <c r="B821" s="6">
        <v>4.81</v>
      </c>
      <c r="M821" s="3"/>
    </row>
    <row r="822" ht="15.75" customHeight="1">
      <c r="A822" s="11" t="str">
        <f>$B$882</f>
        <v> $ 0.83 </v>
      </c>
      <c r="B822" s="11" t="str">
        <f>$A$882</f>
        <v> $ 5.58 </v>
      </c>
      <c r="C822" s="12">
        <v>500.0</v>
      </c>
      <c r="H822" s="2"/>
      <c r="Y822" s="3"/>
    </row>
    <row r="823" ht="15.75" customHeight="1">
      <c r="A823" s="6" t="str">
        <f>(A822-A821)*C823</f>
        <v>-1960</v>
      </c>
      <c r="B823" s="11" t="str">
        <f>C822*(B821-B822)</f>
        <v>-$ 385.00 </v>
      </c>
      <c r="C823" s="12">
        <v>500.0</v>
      </c>
      <c r="E823" s="11" t="str">
        <f>A823</f>
        <v>-$ 1,960.00 </v>
      </c>
      <c r="F823" s="11" t="str">
        <f>(B823+A823)</f>
        <v>-$ 2,345.00 </v>
      </c>
      <c r="G823" t="str">
        <f>IF(F823&gt;0, "TRADE","H")</f>
        <v>H</v>
      </c>
      <c r="H823" s="2"/>
      <c r="Y823" s="3"/>
    </row>
    <row r="824" ht="15.75" customHeight="1">
      <c r="A824" t="s">
        <v>14</v>
      </c>
      <c r="B824" t="s">
        <v>15</v>
      </c>
      <c r="C824" s="9">
        <v>45834.0</v>
      </c>
      <c r="K824" s="3"/>
    </row>
    <row r="825" ht="15.75" customHeight="1">
      <c r="A825" s="6">
        <v>2587.0</v>
      </c>
      <c r="B825" s="6">
        <v>2522.0</v>
      </c>
      <c r="I825" s="3"/>
    </row>
    <row r="826" ht="15.75" customHeight="1">
      <c r="A826" s="10">
        <v>13.54</v>
      </c>
      <c r="B826" s="6">
        <v>13.64</v>
      </c>
      <c r="M826" s="3"/>
    </row>
    <row r="827" ht="15.75" customHeight="1">
      <c r="A827" s="11" t="str">
        <f>$B$882</f>
        <v> $ 0.83 </v>
      </c>
      <c r="B827" s="11" t="str">
        <f>$A$882</f>
        <v> $ 5.58 </v>
      </c>
      <c r="C827" s="12">
        <v>500.0</v>
      </c>
      <c r="H827" s="2"/>
      <c r="Y827" s="3"/>
    </row>
    <row r="828" ht="15.75" customHeight="1">
      <c r="A828" s="6" t="str">
        <f>(A827-A826)*C828</f>
        <v>-6355</v>
      </c>
      <c r="B828" s="11" t="str">
        <f>C827*(B826-B827)</f>
        <v> $ 4,030.00 </v>
      </c>
      <c r="C828" s="12">
        <v>500.0</v>
      </c>
      <c r="E828" s="11" t="str">
        <f>A828</f>
        <v>-$ 6,355.00 </v>
      </c>
      <c r="F828" s="11" t="str">
        <f>(B828+A828)</f>
        <v>-$ 2,325.00 </v>
      </c>
      <c r="G828" t="str">
        <f>IF(F828&gt;0, "TRADE","H")</f>
        <v>H</v>
      </c>
      <c r="H828" s="2"/>
      <c r="Y828" s="3"/>
    </row>
    <row r="829" ht="15.75" customHeight="1">
      <c r="A829" t="s">
        <v>14</v>
      </c>
      <c r="B829" t="s">
        <v>15</v>
      </c>
      <c r="C829" s="9">
        <v>45840.0</v>
      </c>
      <c r="K829" s="3"/>
    </row>
    <row r="830" ht="15.75" customHeight="1">
      <c r="A830" s="6">
        <v>2587.0</v>
      </c>
      <c r="B830" s="6">
        <v>2522.0</v>
      </c>
      <c r="I830" s="3"/>
    </row>
    <row r="831" ht="15.75" customHeight="1">
      <c r="A831" s="10">
        <v>16.0</v>
      </c>
      <c r="B831" s="6">
        <v>14.08</v>
      </c>
      <c r="M831" s="3"/>
    </row>
    <row r="832" ht="15.75" customHeight="1">
      <c r="A832" s="11" t="str">
        <f>$B$882</f>
        <v> $ 0.83 </v>
      </c>
      <c r="B832" s="11" t="str">
        <f>$A$882</f>
        <v> $ 5.58 </v>
      </c>
      <c r="C832" s="12">
        <v>500.0</v>
      </c>
      <c r="H832" s="2"/>
      <c r="Y832" s="3"/>
    </row>
    <row r="833" ht="15.75" customHeight="1">
      <c r="A833" s="6" t="str">
        <f>(A832-A831)*C833</f>
        <v>-7585</v>
      </c>
      <c r="B833" s="11" t="str">
        <f>C832*(B831-B832)</f>
        <v> $ 4,250.00 </v>
      </c>
      <c r="C833" s="12">
        <v>500.0</v>
      </c>
      <c r="E833" s="11" t="str">
        <f>A833</f>
        <v>-$ 7,585.00 </v>
      </c>
      <c r="F833" s="11" t="str">
        <f>(B833+A833)</f>
        <v>-$ 3,335.00 </v>
      </c>
      <c r="G833" t="str">
        <f>IF(F833&gt;0, "TRADE","H")</f>
        <v>H</v>
      </c>
      <c r="H833" s="2"/>
      <c r="Y833" s="3"/>
    </row>
    <row r="834" ht="15.75" customHeight="1">
      <c r="A834" t="s">
        <v>14</v>
      </c>
      <c r="B834" t="s">
        <v>15</v>
      </c>
      <c r="C834" s="9">
        <v>45840.0</v>
      </c>
      <c r="K834" s="3"/>
    </row>
    <row r="835" ht="15.75" customHeight="1">
      <c r="A835" s="6">
        <v>2587.0</v>
      </c>
      <c r="B835" s="6">
        <v>2522.0</v>
      </c>
      <c r="I835" s="3"/>
    </row>
    <row r="836" ht="15.75" customHeight="1">
      <c r="A836" s="10">
        <v>15.18</v>
      </c>
      <c r="B836" s="6">
        <v>13.94</v>
      </c>
      <c r="M836" s="3"/>
    </row>
    <row r="837" ht="15.75" customHeight="1">
      <c r="A837" s="11" t="str">
        <f>$B$882</f>
        <v> $ 0.83 </v>
      </c>
      <c r="B837" s="11" t="str">
        <f>$A$882</f>
        <v> $ 5.58 </v>
      </c>
      <c r="C837" s="12">
        <v>500.0</v>
      </c>
      <c r="H837" s="2"/>
      <c r="Y837" s="3"/>
    </row>
    <row r="838" ht="15.75" customHeight="1">
      <c r="A838" s="6" t="str">
        <f>(A837-A836)*C838</f>
        <v>-7175</v>
      </c>
      <c r="B838" s="11" t="str">
        <f>C837*(B836-B837)</f>
        <v> $ 4,180.00 </v>
      </c>
      <c r="C838" s="12">
        <v>500.0</v>
      </c>
      <c r="E838" s="11" t="str">
        <f>A838</f>
        <v>-$ 7,175.00 </v>
      </c>
      <c r="F838" s="11" t="str">
        <f>(B838+A838)</f>
        <v>-$ 2,995.00 </v>
      </c>
      <c r="G838" t="str">
        <f>IF(F838&gt;0, "TRADE","H")</f>
        <v>H</v>
      </c>
      <c r="H838" s="2"/>
      <c r="Y838" s="3"/>
    </row>
    <row r="839" ht="15.75" customHeight="1">
      <c r="A839" t="s">
        <v>14</v>
      </c>
      <c r="B839" t="s">
        <v>15</v>
      </c>
      <c r="C839" s="9">
        <v>45838.0</v>
      </c>
      <c r="K839" s="3"/>
    </row>
    <row r="840" ht="15.75" customHeight="1">
      <c r="A840" s="6">
        <v>2587.0</v>
      </c>
      <c r="B840" s="6">
        <v>2522.0</v>
      </c>
      <c r="I840" s="3"/>
    </row>
    <row r="841" ht="15.75" customHeight="1">
      <c r="A841" s="10">
        <v>17.5</v>
      </c>
      <c r="B841" s="6">
        <v>13.6</v>
      </c>
      <c r="M841" s="3"/>
    </row>
    <row r="842" ht="15.75" customHeight="1">
      <c r="A842" s="11" t="str">
        <f>$B$882</f>
        <v> $ 0.83 </v>
      </c>
      <c r="B842" s="11" t="str">
        <f>$A$882</f>
        <v> $ 5.58 </v>
      </c>
      <c r="C842" s="12">
        <v>500.0</v>
      </c>
      <c r="H842" s="2"/>
      <c r="Y842" s="3"/>
    </row>
    <row r="843" ht="15.75" customHeight="1">
      <c r="A843" s="6" t="str">
        <f>(A842-A841)*C843</f>
        <v>-8335</v>
      </c>
      <c r="B843" s="11" t="str">
        <f>C842*(B841-B842)</f>
        <v> $ 4,010.00 </v>
      </c>
      <c r="C843" s="12">
        <v>500.0</v>
      </c>
      <c r="E843" s="11" t="str">
        <f>A843</f>
        <v>-$ 8,335.00 </v>
      </c>
      <c r="F843" s="11" t="str">
        <f>(B843+A843)</f>
        <v>-$ 4,325.00 </v>
      </c>
      <c r="G843" t="str">
        <f>IF(F843&gt;0, "TRADE","H")</f>
        <v>H</v>
      </c>
      <c r="H843" s="2"/>
      <c r="Y843" s="3"/>
    </row>
    <row r="844" ht="15.75" customHeight="1">
      <c r="A844" t="s">
        <v>14</v>
      </c>
      <c r="B844" t="s">
        <v>15</v>
      </c>
      <c r="C844" s="9">
        <v>45838.0</v>
      </c>
      <c r="K844" s="3"/>
    </row>
    <row r="845" ht="15.75" customHeight="1">
      <c r="A845" s="6">
        <v>2587.0</v>
      </c>
      <c r="B845" s="6">
        <v>2522.0</v>
      </c>
      <c r="I845" s="3"/>
    </row>
    <row r="846" ht="15.75" customHeight="1">
      <c r="A846" s="10">
        <v>17.36</v>
      </c>
      <c r="B846" s="6">
        <v>14.04</v>
      </c>
      <c r="M846" s="3"/>
    </row>
    <row r="847" ht="15.75" customHeight="1">
      <c r="A847" s="11" t="str">
        <f>$B$882</f>
        <v> $ 0.83 </v>
      </c>
      <c r="B847" s="11" t="str">
        <f>$A$882</f>
        <v> $ 5.58 </v>
      </c>
      <c r="C847" s="12">
        <v>500.0</v>
      </c>
      <c r="H847" s="2"/>
      <c r="Y847" s="3"/>
    </row>
    <row r="848" ht="15.75" customHeight="1">
      <c r="A848" s="6" t="str">
        <f>(A847-A846)*C848</f>
        <v>-8265</v>
      </c>
      <c r="B848" s="11" t="str">
        <f>C847*(B846-B847)</f>
        <v> $ 4,230.00 </v>
      </c>
      <c r="C848" s="12">
        <v>500.0</v>
      </c>
      <c r="E848" s="11" t="str">
        <f>A848</f>
        <v>-$ 8,265.00 </v>
      </c>
      <c r="F848" s="11" t="str">
        <f>(B848+A848)</f>
        <v>-$ 4,035.00 </v>
      </c>
      <c r="G848" t="str">
        <f>IF(F848&gt;0, "TRADE","H")</f>
        <v>H</v>
      </c>
      <c r="H848" s="2"/>
      <c r="Y848" s="3"/>
    </row>
    <row r="849" ht="15.75" customHeight="1">
      <c r="A849" t="s">
        <v>14</v>
      </c>
      <c r="B849" t="s">
        <v>15</v>
      </c>
      <c r="C849" s="9">
        <v>45834.0</v>
      </c>
      <c r="K849" s="3"/>
    </row>
    <row r="850" ht="15.75" customHeight="1">
      <c r="A850" s="6">
        <v>2587.0</v>
      </c>
      <c r="B850" s="6">
        <v>2522.0</v>
      </c>
      <c r="I850" s="3"/>
    </row>
    <row r="851" ht="15.75" customHeight="1">
      <c r="A851" s="10">
        <v>18.6</v>
      </c>
      <c r="B851" s="6">
        <v>13.32</v>
      </c>
      <c r="M851" s="3"/>
    </row>
    <row r="852" ht="15.75" customHeight="1">
      <c r="A852" s="11" t="str">
        <f>$B$882</f>
        <v> $ 0.83 </v>
      </c>
      <c r="B852" s="11" t="str">
        <f>$A$882</f>
        <v> $ 5.58 </v>
      </c>
      <c r="C852" s="12">
        <v>500.0</v>
      </c>
      <c r="H852" s="2"/>
      <c r="Y852" s="3"/>
    </row>
    <row r="853" ht="15.75" customHeight="1">
      <c r="A853" s="6" t="str">
        <f>(A852-A851)*C853</f>
        <v>-8885</v>
      </c>
      <c r="B853" s="11" t="str">
        <f>C852*(B851-B852)</f>
        <v> $ 3,870.00 </v>
      </c>
      <c r="C853" s="12">
        <v>500.0</v>
      </c>
      <c r="E853" s="11" t="str">
        <f>A853</f>
        <v>-$ 8,885.00 </v>
      </c>
      <c r="F853" s="11" t="str">
        <f>(B853+A853)</f>
        <v>-$ 5,015.00 </v>
      </c>
      <c r="G853" t="str">
        <f>IF(F853&gt;0, "TRADE","H")</f>
        <v>H</v>
      </c>
      <c r="H853" s="2"/>
      <c r="Y853" s="3"/>
    </row>
    <row r="854" ht="15.75" customHeight="1">
      <c r="A854" t="s">
        <v>14</v>
      </c>
      <c r="B854" t="s">
        <v>15</v>
      </c>
      <c r="C854" s="9">
        <v>45982.0</v>
      </c>
      <c r="K854" s="3"/>
    </row>
    <row r="855" ht="15.75" customHeight="1">
      <c r="A855" s="6">
        <v>2522.0</v>
      </c>
      <c r="B855" s="6">
        <v>2587.0</v>
      </c>
      <c r="I855" s="3"/>
    </row>
    <row r="856" ht="15.75" customHeight="1">
      <c r="A856" s="10">
        <v>15.65</v>
      </c>
      <c r="B856" s="6">
        <v>5.23</v>
      </c>
      <c r="M856" s="3"/>
    </row>
    <row r="857" ht="15.75" customHeight="1">
      <c r="A857" s="11" t="str">
        <f>$A$882</f>
        <v> $ 5.58 </v>
      </c>
      <c r="B857" s="11" t="str">
        <f>$B$882</f>
        <v> $ 0.83 </v>
      </c>
      <c r="C857" s="12">
        <v>500.0</v>
      </c>
      <c r="H857" s="2"/>
      <c r="Y857" s="3"/>
    </row>
    <row r="858" ht="15.75" customHeight="1">
      <c r="A858" s="6" t="str">
        <f>(A857-A856)*C858</f>
        <v>-5035</v>
      </c>
      <c r="B858" s="11" t="str">
        <f>C857*(B856-B857)</f>
        <v> $ 2,200.00 </v>
      </c>
      <c r="C858" s="12">
        <v>500.0</v>
      </c>
      <c r="E858" s="11" t="str">
        <f>A858</f>
        <v>-$ 5,035.00 </v>
      </c>
      <c r="F858" s="11" t="str">
        <f>(B858+A858)</f>
        <v>-$ 2,835.00 </v>
      </c>
      <c r="G858" t="str">
        <f>IF(F858&gt;0, "TRADE","H")</f>
        <v>H</v>
      </c>
      <c r="H858" s="2"/>
      <c r="Y858" s="3"/>
    </row>
    <row r="859" ht="15.75" customHeight="1">
      <c r="A859" t="s">
        <v>14</v>
      </c>
      <c r="B859" t="s">
        <v>15</v>
      </c>
      <c r="C859" s="9">
        <v>45987.0</v>
      </c>
      <c r="K859" s="3"/>
    </row>
    <row r="860" ht="15.75" customHeight="1">
      <c r="A860" s="6">
        <v>2522.0</v>
      </c>
      <c r="B860" s="6">
        <v>2587.0</v>
      </c>
      <c r="I860" s="3"/>
    </row>
    <row r="861" ht="15.75" customHeight="1">
      <c r="A861" s="10">
        <v>14.79</v>
      </c>
      <c r="B861" s="6">
        <v>5.31</v>
      </c>
      <c r="M861" s="3"/>
    </row>
    <row r="862" ht="15.75" customHeight="1">
      <c r="A862" s="11" t="str">
        <f>$A$882</f>
        <v> $ 5.58 </v>
      </c>
      <c r="B862" s="11" t="str">
        <f>$B$882</f>
        <v> $ 0.83 </v>
      </c>
      <c r="C862" s="12">
        <v>500.0</v>
      </c>
      <c r="H862" s="2"/>
      <c r="Y862" s="3"/>
    </row>
    <row r="863" ht="15.75" customHeight="1">
      <c r="A863" s="6" t="str">
        <f>(A862-A861)*C863</f>
        <v>-4605</v>
      </c>
      <c r="B863" s="11" t="str">
        <f>C862*(B861-B862)</f>
        <v> $ 2,240.00 </v>
      </c>
      <c r="C863" s="12">
        <v>500.0</v>
      </c>
      <c r="E863" s="11" t="str">
        <f>A863</f>
        <v>-$ 4,605.00 </v>
      </c>
      <c r="F863" s="11" t="str">
        <f>(B863+A863)</f>
        <v>-$ 2,365.00 </v>
      </c>
      <c r="G863" t="str">
        <f>IF(F863&gt;0, "TRADE","H")</f>
        <v>H</v>
      </c>
      <c r="H863" s="2"/>
      <c r="Y863" s="3"/>
    </row>
    <row r="864" ht="15.75" customHeight="1">
      <c r="A864" t="s">
        <v>14</v>
      </c>
      <c r="B864" t="s">
        <v>15</v>
      </c>
      <c r="C864" s="9">
        <v>45988.0</v>
      </c>
      <c r="K864" s="3"/>
    </row>
    <row r="865" ht="15.75" customHeight="1">
      <c r="A865" s="6">
        <v>2522.0</v>
      </c>
      <c r="B865" s="6">
        <v>2587.0</v>
      </c>
      <c r="I865" s="3"/>
    </row>
    <row r="866" ht="15.75" customHeight="1">
      <c r="A866" s="10">
        <v>14.36</v>
      </c>
      <c r="B866" s="6">
        <v>5.13</v>
      </c>
      <c r="M866" s="3"/>
    </row>
    <row r="867" ht="15.75" customHeight="1">
      <c r="A867" s="11" t="str">
        <f>$A$882</f>
        <v> $ 5.58 </v>
      </c>
      <c r="B867" s="11" t="str">
        <f>$B$882</f>
        <v> $ 0.83 </v>
      </c>
      <c r="C867" s="12">
        <v>500.0</v>
      </c>
      <c r="H867" s="2"/>
      <c r="Y867" s="3"/>
    </row>
    <row r="868" ht="15.75" customHeight="1">
      <c r="A868" s="6" t="str">
        <f>(A867-A866)*C868</f>
        <v>-4390</v>
      </c>
      <c r="B868" s="11" t="str">
        <f>C867*(B866-B867)</f>
        <v> $ 2,150.00 </v>
      </c>
      <c r="C868" s="12">
        <v>500.0</v>
      </c>
      <c r="E868" s="11" t="str">
        <f>A868</f>
        <v>-$ 4,390.00 </v>
      </c>
      <c r="F868" s="11" t="str">
        <f>(B868+A868)</f>
        <v>-$ 2,240.00 </v>
      </c>
      <c r="G868" t="str">
        <f>IF(F868&gt;0, "TRADE","H")</f>
        <v>H</v>
      </c>
      <c r="H868" s="2"/>
      <c r="Y868" s="3"/>
    </row>
    <row r="869" ht="15.75" customHeight="1">
      <c r="A869" t="s">
        <v>14</v>
      </c>
      <c r="B869" t="s">
        <v>15</v>
      </c>
      <c r="C869" s="9">
        <v>45992.0</v>
      </c>
      <c r="K869" s="3"/>
    </row>
    <row r="870" ht="15.75" customHeight="1">
      <c r="A870" s="6">
        <v>2522.0</v>
      </c>
      <c r="B870" s="6">
        <v>2587.0</v>
      </c>
      <c r="I870" s="3"/>
    </row>
    <row r="871" ht="15.75" customHeight="1">
      <c r="A871" s="10">
        <v>13.84</v>
      </c>
      <c r="B871" s="6">
        <v>5.07</v>
      </c>
      <c r="M871" s="3"/>
    </row>
    <row r="872" ht="15.75" customHeight="1">
      <c r="A872" s="11" t="str">
        <f>$A$882</f>
        <v> $ 5.58 </v>
      </c>
      <c r="B872" s="11" t="str">
        <f>$B$882</f>
        <v> $ 0.83 </v>
      </c>
      <c r="C872" s="12">
        <v>500.0</v>
      </c>
      <c r="H872" s="2"/>
      <c r="Y872" s="3"/>
    </row>
    <row r="873" ht="15.75" customHeight="1">
      <c r="A873" s="6" t="str">
        <f>(A872-A871)*C873</f>
        <v>-4130</v>
      </c>
      <c r="B873" s="11" t="str">
        <f>C872*(B871-B872)</f>
        <v> $ 2,120.00 </v>
      </c>
      <c r="C873" s="12">
        <v>500.0</v>
      </c>
      <c r="E873" s="11" t="str">
        <f>A873</f>
        <v>-$ 4,130.00 </v>
      </c>
      <c r="F873" s="11" t="str">
        <f>(B873+A873)</f>
        <v>-$ 2,010.00 </v>
      </c>
      <c r="G873" t="str">
        <f>IF(F873&gt;0, "TRADE","H")</f>
        <v>H</v>
      </c>
      <c r="H873" s="2"/>
      <c r="Y873" s="3"/>
    </row>
    <row r="874" ht="15.75" customHeight="1">
      <c r="A874" t="s">
        <v>14</v>
      </c>
      <c r="B874" t="s">
        <v>15</v>
      </c>
      <c r="C874" s="9">
        <v>45996.0</v>
      </c>
      <c r="K874" s="3"/>
    </row>
    <row r="875" ht="15.75" customHeight="1">
      <c r="A875" s="6">
        <v>2522.0</v>
      </c>
      <c r="B875" s="6">
        <v>2587.0</v>
      </c>
      <c r="I875" s="3"/>
    </row>
    <row r="876" ht="15.75" customHeight="1">
      <c r="A876" s="10">
        <v>11.73</v>
      </c>
      <c r="B876" s="6">
        <v>4.48</v>
      </c>
      <c r="M876" s="3"/>
    </row>
    <row r="877" ht="15.75" customHeight="1">
      <c r="A877" s="11" t="str">
        <f>$A$882</f>
        <v> $ 5.58 </v>
      </c>
      <c r="B877" s="11" t="str">
        <f>$B$882</f>
        <v> $ 0.83 </v>
      </c>
      <c r="C877" s="12">
        <v>500.0</v>
      </c>
      <c r="H877" s="2"/>
      <c r="Y877" s="3"/>
    </row>
    <row r="878" ht="15.75" customHeight="1">
      <c r="A878" s="6" t="str">
        <f>(A877-A876)*C878</f>
        <v>-3075</v>
      </c>
      <c r="B878" s="11" t="str">
        <f>C877*(B876-B877)</f>
        <v> $ 1,825.00 </v>
      </c>
      <c r="C878" s="12">
        <v>500.0</v>
      </c>
      <c r="E878" s="11" t="str">
        <f>A878</f>
        <v>-$ 3,075.00 </v>
      </c>
      <c r="F878" s="11" t="str">
        <f>(B878+A878)</f>
        <v>-$ 1,250.00 </v>
      </c>
      <c r="G878" t="str">
        <f>IF(F878&gt;0, "TRADE","H")</f>
        <v>H</v>
      </c>
      <c r="H878" s="2"/>
      <c r="Y878" s="3"/>
    </row>
    <row r="879" ht="15.75" customHeight="1">
      <c r="A879" t="s">
        <v>14</v>
      </c>
      <c r="B879" t="s">
        <v>15</v>
      </c>
      <c r="C879" s="9">
        <v>45723.0</v>
      </c>
      <c r="K879" s="3"/>
    </row>
    <row r="880" ht="15.75" customHeight="1">
      <c r="A880" s="6">
        <v>2522.0</v>
      </c>
      <c r="B880" s="6">
        <v>2587.0</v>
      </c>
      <c r="I880" s="3"/>
    </row>
    <row r="881" ht="15.75" customHeight="1">
      <c r="A881" s="10">
        <v>37.35</v>
      </c>
      <c r="B881" s="6">
        <v>20.6</v>
      </c>
      <c r="M881" s="3"/>
    </row>
    <row r="882" ht="15.75" customHeight="1">
      <c r="A882" s="21" t="str">
        <f>I775</f>
        <v> $ 5.58 </v>
      </c>
      <c r="B882" s="21" t="str">
        <f>I774</f>
        <v> $ 0.83 </v>
      </c>
      <c r="C882" s="12">
        <v>500.0</v>
      </c>
      <c r="H882" s="2"/>
      <c r="Y882" s="3"/>
    </row>
    <row r="883" ht="15.75" customHeight="1">
      <c r="A883" s="6" t="str">
        <f>(A882-A881)*C883</f>
        <v>-31770</v>
      </c>
      <c r="B883" s="11" t="str">
        <f>C882*(B881-B882)</f>
        <v> $ 9,885.00 </v>
      </c>
      <c r="C883" s="12">
        <v>1000.0</v>
      </c>
      <c r="E883" s="11" t="str">
        <f>A883</f>
        <v>-$ 31,770.00 </v>
      </c>
      <c r="F883" s="11" t="str">
        <f>(B883+A883)</f>
        <v>-$ 21,885.00 </v>
      </c>
      <c r="G883" t="str">
        <f>IF(F883&gt;0, "TRADE","H")</f>
        <v>H</v>
      </c>
      <c r="H883" s="2"/>
      <c r="Y883" s="3"/>
    </row>
    <row r="884" ht="15.75" customHeight="1">
      <c r="A884" s="6"/>
      <c r="B884" s="11"/>
      <c r="E884" s="11"/>
      <c r="V884" s="3"/>
    </row>
    <row r="885" ht="15.75" customHeight="1">
      <c r="A885" t="s">
        <v>14</v>
      </c>
      <c r="B885" t="s">
        <v>15</v>
      </c>
      <c r="C885" s="9">
        <v>45573.0</v>
      </c>
      <c r="H885" s="2" t="str">
        <f>(I885-K885)/K885-$D$371</f>
        <v>81.10%</v>
      </c>
      <c r="I885" s="17">
        <v>28.3</v>
      </c>
      <c r="J885" s="18">
        <v>600089.0</v>
      </c>
      <c r="K885">
        <v>15.89</v>
      </c>
      <c r="W885" s="3"/>
    </row>
    <row r="886" ht="15.75" customHeight="1">
      <c r="A886" s="6">
        <v>600089.0</v>
      </c>
      <c r="B886" s="6"/>
      <c r="H886" s="2"/>
      <c r="I886" s="19"/>
      <c r="J886" s="20"/>
      <c r="W886" s="3"/>
    </row>
    <row r="887" ht="15.75" customHeight="1">
      <c r="A887" s="10">
        <v>15.89</v>
      </c>
      <c r="B887" s="6"/>
      <c r="H887" s="2"/>
      <c r="Y887" s="3"/>
    </row>
    <row r="888" ht="15.75" customHeight="1">
      <c r="A888" s="21" t="str">
        <f>I885</f>
        <v> $ 28.30 </v>
      </c>
      <c r="B888" s="11"/>
      <c r="C888" s="12"/>
      <c r="H888" s="2"/>
      <c r="Y888" s="3"/>
    </row>
    <row r="889" ht="15.75" customHeight="1">
      <c r="A889" s="6" t="str">
        <f>(A888-A887)*C889</f>
        <v>18615</v>
      </c>
      <c r="B889" s="6"/>
      <c r="C889" s="12">
        <v>1500.0</v>
      </c>
      <c r="E889" s="11" t="str">
        <f>A889</f>
        <v> $ 18,615.00 </v>
      </c>
      <c r="F889" s="6" t="str">
        <f>(B889+A889)</f>
        <v>18615</v>
      </c>
      <c r="G889" t="str">
        <f>IF(F889&gt;0, "TRADE","H")</f>
        <v>TRADE</v>
      </c>
      <c r="H889" s="2"/>
      <c r="Y889" s="3"/>
    </row>
    <row r="890" ht="15.75" customHeight="1">
      <c r="A890" t="s">
        <v>14</v>
      </c>
      <c r="B890" t="s">
        <v>15</v>
      </c>
      <c r="C890" s="9">
        <v>45699.0</v>
      </c>
      <c r="S890" s="3"/>
    </row>
    <row r="891" ht="15.75" customHeight="1">
      <c r="A891" s="6">
        <v>600089.0</v>
      </c>
      <c r="B891" s="6"/>
      <c r="S891" s="3"/>
    </row>
    <row r="892" ht="15.75" customHeight="1">
      <c r="A892" s="10">
        <v>12.28</v>
      </c>
      <c r="B892" s="6"/>
      <c r="U892" s="3"/>
    </row>
    <row r="893" ht="15.75" customHeight="1">
      <c r="A893" s="11" t="str">
        <f>A888</f>
        <v> $ 28.30 </v>
      </c>
      <c r="B893" s="11"/>
      <c r="C893" s="12"/>
      <c r="H893" s="2"/>
      <c r="Y893" s="3"/>
    </row>
    <row r="894" ht="15.75" customHeight="1">
      <c r="A894" s="6" t="str">
        <f>(A893-A892)*C894</f>
        <v>11214</v>
      </c>
      <c r="B894" s="6"/>
      <c r="C894" s="12">
        <v>700.0</v>
      </c>
      <c r="E894" s="11" t="str">
        <f>A894</f>
        <v> $ 11,214.00 </v>
      </c>
      <c r="F894" s="6" t="str">
        <f>(B894+A894)</f>
        <v>11214</v>
      </c>
      <c r="G894" t="str">
        <f>IF(F894&gt;0, "TRADE","H")</f>
        <v>TRADE</v>
      </c>
      <c r="H894" s="2"/>
      <c r="Y894" s="3"/>
    </row>
    <row r="895" ht="15.75" customHeight="1">
      <c r="A895" t="s">
        <v>14</v>
      </c>
      <c r="B895" t="s">
        <v>15</v>
      </c>
      <c r="C895" s="9">
        <v>45621.0</v>
      </c>
      <c r="H895" s="2" t="str">
        <f>(I895-K895)/K895-$D$371</f>
        <v>88.74%</v>
      </c>
      <c r="I895" s="17">
        <v>157.7</v>
      </c>
      <c r="J895" s="18">
        <v>9880.0</v>
      </c>
      <c r="K895">
        <v>84.9</v>
      </c>
      <c r="M895" s="3"/>
      <c r="O895" s="3"/>
    </row>
    <row r="896" ht="15.75" customHeight="1">
      <c r="A896" s="6">
        <v>9880.0</v>
      </c>
      <c r="B896" s="6"/>
      <c r="H896" s="2"/>
      <c r="I896" s="17"/>
      <c r="J896" s="20"/>
    </row>
    <row r="897" ht="15.75" customHeight="1">
      <c r="A897" s="10">
        <v>84.9</v>
      </c>
      <c r="B897" s="6"/>
      <c r="H897" s="2" t="str">
        <f>H895-H896</f>
        <v>88.74%</v>
      </c>
      <c r="Q897" s="3"/>
    </row>
    <row r="898" ht="15.75" customHeight="1">
      <c r="A898" s="21" t="str">
        <f>I895</f>
        <v> $ 157.70 </v>
      </c>
      <c r="B898" s="21"/>
      <c r="C898" s="12"/>
      <c r="H898" s="2"/>
      <c r="Y898" s="3"/>
    </row>
    <row r="899" ht="15.75" customHeight="1">
      <c r="A899" s="6" t="str">
        <f>(A898-A897)*C899</f>
        <v>21840</v>
      </c>
      <c r="B899" s="11"/>
      <c r="C899" s="12">
        <v>300.0</v>
      </c>
      <c r="E899" s="11" t="str">
        <f>A899</f>
        <v> $ 21,840.00 </v>
      </c>
      <c r="F899" s="11" t="str">
        <f>(B899+A899)</f>
        <v> $ 21,840.00 </v>
      </c>
      <c r="G899" t="str">
        <f>IF(F899&gt;0, "TRADE","H")</f>
        <v>TRADE</v>
      </c>
      <c r="H899" s="2"/>
      <c r="Y899" s="3"/>
    </row>
    <row r="900" ht="15.75" customHeight="1">
      <c r="A900" t="s">
        <v>14</v>
      </c>
      <c r="B900" t="s">
        <v>15</v>
      </c>
      <c r="C900" s="9">
        <v>45621.0</v>
      </c>
      <c r="K900" s="3"/>
    </row>
    <row r="901" ht="15.75" customHeight="1">
      <c r="A901" s="6">
        <v>9880.0</v>
      </c>
      <c r="B901" s="6"/>
      <c r="I901" s="3"/>
      <c r="M901" s="3"/>
    </row>
    <row r="902" ht="15.75" customHeight="1">
      <c r="A902" s="10">
        <v>83.75</v>
      </c>
      <c r="B902" s="6"/>
    </row>
    <row r="903" ht="15.75" customHeight="1">
      <c r="A903" s="11" t="str">
        <f>A898</f>
        <v> $ 157.70 </v>
      </c>
      <c r="B903" s="21"/>
      <c r="C903" s="12"/>
      <c r="H903" s="2"/>
      <c r="Y903" s="3"/>
    </row>
    <row r="904" ht="15.75" customHeight="1">
      <c r="A904" s="6" t="str">
        <f>(A903-A902)*C904</f>
        <v>22185</v>
      </c>
      <c r="B904" s="11"/>
      <c r="C904" s="12">
        <v>300.0</v>
      </c>
      <c r="E904" s="11" t="str">
        <f>A904</f>
        <v> $ 22,185.00 </v>
      </c>
      <c r="F904" s="11" t="str">
        <f>(B904+A904)</f>
        <v> $ 22,185.00 </v>
      </c>
      <c r="G904" t="str">
        <f>IF(F904&gt;0, "TRADE","H")</f>
        <v>TRADE</v>
      </c>
      <c r="H904" s="2"/>
      <c r="Y904" s="3"/>
    </row>
    <row r="905" ht="15.75" customHeight="1">
      <c r="A905" t="s">
        <v>14</v>
      </c>
      <c r="B905" t="s">
        <v>15</v>
      </c>
      <c r="C905" s="9">
        <v>45656.0</v>
      </c>
      <c r="H905" s="2"/>
      <c r="Z905" s="3"/>
    </row>
    <row r="906" ht="15.75" customHeight="1">
      <c r="A906" s="6">
        <v>9880.0</v>
      </c>
      <c r="B906" s="6" t="s">
        <v>17</v>
      </c>
      <c r="H906" s="2"/>
      <c r="Z906" s="3"/>
    </row>
    <row r="907" ht="15.75" customHeight="1">
      <c r="A907" s="10">
        <v>77.65</v>
      </c>
      <c r="B907" s="6">
        <v>84.7</v>
      </c>
      <c r="H907" s="2"/>
      <c r="Z907" s="3"/>
    </row>
    <row r="908" ht="15.75" customHeight="1">
      <c r="A908" s="11" t="str">
        <f>A898</f>
        <v> $ 157.70 </v>
      </c>
      <c r="B908" s="11" t="str">
        <f>#REF!</f>
        <v>#REF!</v>
      </c>
      <c r="C908" s="29">
        <v>300.0</v>
      </c>
      <c r="D908" t="s">
        <v>0</v>
      </c>
      <c r="H908" s="2"/>
      <c r="Z908" s="3"/>
    </row>
    <row r="909" ht="15.75" customHeight="1">
      <c r="A909" s="6" t="str">
        <f>(A908-A907)*C909</f>
        <v>24015</v>
      </c>
      <c r="B909" s="6"/>
      <c r="C909" s="29">
        <v>300.0</v>
      </c>
      <c r="D909" t="s">
        <v>16</v>
      </c>
      <c r="E909" s="11" t="str">
        <f>A909</f>
        <v> $ 24,015.00 </v>
      </c>
      <c r="F909" s="6" t="str">
        <f>(B909+A909)</f>
        <v>24015</v>
      </c>
      <c r="G909" t="str">
        <f>IF(F909&gt;0, "TRADE","H")</f>
        <v>TRADE</v>
      </c>
      <c r="H909" s="2"/>
      <c r="Z909" s="3"/>
    </row>
    <row r="910" ht="15.75" customHeight="1">
      <c r="A910" t="s">
        <v>14</v>
      </c>
      <c r="B910" t="s">
        <v>15</v>
      </c>
      <c r="C910" s="9">
        <v>45656.0</v>
      </c>
      <c r="H910" s="2"/>
      <c r="Z910" s="3"/>
    </row>
    <row r="911" ht="15.75" customHeight="1">
      <c r="A911" s="6">
        <v>9880.0</v>
      </c>
      <c r="B911" s="6" t="s">
        <v>17</v>
      </c>
      <c r="H911" s="2"/>
      <c r="Z911" s="3"/>
    </row>
    <row r="912" ht="15.75" customHeight="1">
      <c r="A912" s="10">
        <v>73.35</v>
      </c>
      <c r="B912" s="6">
        <v>83.9</v>
      </c>
      <c r="H912" s="2"/>
      <c r="Z912" s="3"/>
    </row>
    <row r="913" ht="15.75" customHeight="1">
      <c r="A913" s="11" t="str">
        <f>A898</f>
        <v> $ 157.70 </v>
      </c>
      <c r="B913" s="11" t="str">
        <f>#REF!</f>
        <v>#REF!</v>
      </c>
      <c r="C913" s="29">
        <v>300.0</v>
      </c>
      <c r="D913" t="s">
        <v>0</v>
      </c>
      <c r="H913" s="2"/>
      <c r="Z913" s="3"/>
    </row>
    <row r="914" ht="15.75" customHeight="1">
      <c r="A914" s="6" t="str">
        <f>(A913-A912)*C914</f>
        <v>25305</v>
      </c>
      <c r="B914" s="6"/>
      <c r="C914" s="29">
        <v>300.0</v>
      </c>
      <c r="D914" t="s">
        <v>16</v>
      </c>
      <c r="E914" s="11" t="str">
        <f>A914</f>
        <v> $ 25,305.00 </v>
      </c>
      <c r="F914" s="6" t="str">
        <f>(B914+A914)</f>
        <v>25305</v>
      </c>
      <c r="G914" t="str">
        <f>IF(F914&gt;0, "TRADE","H")</f>
        <v>TRADE</v>
      </c>
      <c r="H914" s="2"/>
      <c r="Z914" s="3"/>
    </row>
    <row r="915" ht="15.75" customHeight="1">
      <c r="A915" s="1"/>
      <c r="B915" s="11"/>
      <c r="H915" s="2"/>
      <c r="U915" s="6"/>
      <c r="V915" s="6"/>
      <c r="W915" s="6"/>
      <c r="X915" s="6"/>
      <c r="Y915" s="6"/>
      <c r="Z915" s="3"/>
    </row>
    <row r="916" ht="15.75" customHeight="1">
      <c r="A916" s="1"/>
      <c r="B916" s="11"/>
      <c r="G916" s="6"/>
      <c r="H916" s="2"/>
      <c r="Z916" s="3"/>
    </row>
  </sheetData>
  <conditionalFormatting sqref="H629:H630 H644:H645">
    <cfRule type="expression" dxfId="0" priority="1">
      <formula>H629&lt;($D$371-6%)</formula>
    </cfRule>
  </conditionalFormatting>
  <conditionalFormatting sqref="H629:H630 H644:H645">
    <cfRule type="expression" dxfId="1" priority="2">
      <formula>H629&gt;($D$371+6%)</formula>
    </cfRule>
  </conditionalFormatting>
  <conditionalFormatting sqref="H629:H630 H644:H645">
    <cfRule type="expression" dxfId="2" priority="3">
      <formula>H629&lt;($D$371-3%)</formula>
    </cfRule>
  </conditionalFormatting>
  <conditionalFormatting sqref="H629:H630 H644:H645">
    <cfRule type="expression" dxfId="3" priority="4">
      <formula>H629&gt;($D$371+3%)</formula>
    </cfRule>
  </conditionalFormatting>
  <conditionalFormatting sqref="H634:H635">
    <cfRule type="expression" dxfId="0" priority="5">
      <formula>H634&lt;($D$371-6%)</formula>
    </cfRule>
  </conditionalFormatting>
  <conditionalFormatting sqref="H634:H635">
    <cfRule type="expression" dxfId="1" priority="6">
      <formula>H634&gt;($D$371+6%)</formula>
    </cfRule>
  </conditionalFormatting>
  <conditionalFormatting sqref="H634:H635">
    <cfRule type="expression" dxfId="2" priority="7">
      <formula>H634&lt;($D$371-3%)</formula>
    </cfRule>
  </conditionalFormatting>
  <conditionalFormatting sqref="H634:H635">
    <cfRule type="expression" dxfId="3" priority="8">
      <formula>H634&gt;($D$371+3%)</formula>
    </cfRule>
  </conditionalFormatting>
  <conditionalFormatting sqref="F638">
    <cfRule type="cellIs" dxfId="4" priority="9" operator="greaterThanOrEqual">
      <formula>0</formula>
    </cfRule>
  </conditionalFormatting>
  <conditionalFormatting sqref="F638">
    <cfRule type="cellIs" dxfId="5" priority="10" operator="lessThan">
      <formula>-4100</formula>
    </cfRule>
  </conditionalFormatting>
  <conditionalFormatting sqref="F638">
    <cfRule type="cellIs" dxfId="4" priority="11" operator="greaterThanOrEqual">
      <formula>0</formula>
    </cfRule>
  </conditionalFormatting>
  <conditionalFormatting sqref="F638">
    <cfRule type="cellIs" dxfId="5" priority="12" operator="lessThan">
      <formula>-4100</formula>
    </cfRule>
  </conditionalFormatting>
  <conditionalFormatting sqref="F638">
    <cfRule type="cellIs" dxfId="4" priority="13" operator="greaterThanOrEqual">
      <formula>0</formula>
    </cfRule>
  </conditionalFormatting>
  <conditionalFormatting sqref="F638">
    <cfRule type="cellIs" dxfId="5" priority="14" operator="lessThan">
      <formula>-4100</formula>
    </cfRule>
  </conditionalFormatting>
  <conditionalFormatting sqref="F638">
    <cfRule type="cellIs" dxfId="5" priority="15" operator="lessThan">
      <formula>-4100</formula>
    </cfRule>
  </conditionalFormatting>
  <conditionalFormatting sqref="F638">
    <cfRule type="cellIs" dxfId="4" priority="16" operator="greaterThanOrEqual">
      <formula>0</formula>
    </cfRule>
  </conditionalFormatting>
  <conditionalFormatting sqref="F638">
    <cfRule type="cellIs" dxfId="4" priority="17" operator="greaterThanOrEqual">
      <formula>0</formula>
    </cfRule>
  </conditionalFormatting>
  <conditionalFormatting sqref="F638">
    <cfRule type="cellIs" dxfId="5" priority="18" operator="lessThan">
      <formula>-4100</formula>
    </cfRule>
  </conditionalFormatting>
  <conditionalFormatting sqref="F638">
    <cfRule type="cellIs" dxfId="4" priority="19" operator="greaterThanOrEqual">
      <formula>0</formula>
    </cfRule>
  </conditionalFormatting>
  <conditionalFormatting sqref="F638">
    <cfRule type="cellIs" dxfId="5" priority="20" operator="lessThan">
      <formula>-4100</formula>
    </cfRule>
  </conditionalFormatting>
  <conditionalFormatting sqref="F638">
    <cfRule type="cellIs" dxfId="4" priority="21" operator="greaterThanOrEqual">
      <formula>0</formula>
    </cfRule>
  </conditionalFormatting>
  <conditionalFormatting sqref="F638">
    <cfRule type="cellIs" dxfId="5" priority="22" operator="lessThan">
      <formula>-4100</formula>
    </cfRule>
  </conditionalFormatting>
  <conditionalFormatting sqref="F638">
    <cfRule type="cellIs" dxfId="4" priority="23" operator="greaterThanOrEqual">
      <formula>0</formula>
    </cfRule>
  </conditionalFormatting>
  <conditionalFormatting sqref="F638">
    <cfRule type="cellIs" dxfId="5" priority="24" operator="lessThan">
      <formula>-4100</formula>
    </cfRule>
  </conditionalFormatting>
  <conditionalFormatting sqref="E613 E638">
    <cfRule type="cellIs" dxfId="6" priority="25" operator="greaterThan">
      <formula>0</formula>
    </cfRule>
  </conditionalFormatting>
  <conditionalFormatting sqref="F633">
    <cfRule type="cellIs" dxfId="5" priority="26" operator="lessThan">
      <formula>-4100</formula>
    </cfRule>
  </conditionalFormatting>
  <conditionalFormatting sqref="F633">
    <cfRule type="cellIs" dxfId="4" priority="27" operator="greaterThanOrEqual">
      <formula>0</formula>
    </cfRule>
  </conditionalFormatting>
  <conditionalFormatting sqref="E633">
    <cfRule type="cellIs" dxfId="6" priority="28" operator="greaterThan">
      <formula>0</formula>
    </cfRule>
  </conditionalFormatting>
  <conditionalFormatting sqref="F633">
    <cfRule type="cellIs" dxfId="4" priority="29" operator="greaterThanOrEqual">
      <formula>0</formula>
    </cfRule>
  </conditionalFormatting>
  <conditionalFormatting sqref="F633">
    <cfRule type="cellIs" dxfId="5" priority="30" operator="lessThan">
      <formula>-4100</formula>
    </cfRule>
  </conditionalFormatting>
  <conditionalFormatting sqref="F633">
    <cfRule type="cellIs" dxfId="4" priority="31" operator="greaterThanOrEqual">
      <formula>0</formula>
    </cfRule>
  </conditionalFormatting>
  <conditionalFormatting sqref="F633">
    <cfRule type="cellIs" dxfId="5" priority="32" operator="lessThan">
      <formula>-4100</formula>
    </cfRule>
  </conditionalFormatting>
  <conditionalFormatting sqref="F633">
    <cfRule type="cellIs" dxfId="5" priority="33" operator="lessThan">
      <formula>-4100</formula>
    </cfRule>
  </conditionalFormatting>
  <conditionalFormatting sqref="F633">
    <cfRule type="cellIs" dxfId="4" priority="34" operator="greaterThanOrEqual">
      <formula>0</formula>
    </cfRule>
  </conditionalFormatting>
  <conditionalFormatting sqref="F633">
    <cfRule type="cellIs" dxfId="4" priority="35" operator="greaterThanOrEqual">
      <formula>0</formula>
    </cfRule>
  </conditionalFormatting>
  <conditionalFormatting sqref="F633">
    <cfRule type="cellIs" dxfId="5" priority="36" operator="lessThan">
      <formula>-4100</formula>
    </cfRule>
  </conditionalFormatting>
  <conditionalFormatting sqref="F633">
    <cfRule type="cellIs" dxfId="4" priority="37" operator="greaterThanOrEqual">
      <formula>0</formula>
    </cfRule>
  </conditionalFormatting>
  <conditionalFormatting sqref="F633">
    <cfRule type="cellIs" dxfId="5" priority="38" operator="lessThan">
      <formula>-4100</formula>
    </cfRule>
  </conditionalFormatting>
  <conditionalFormatting sqref="F633">
    <cfRule type="cellIs" dxfId="4" priority="39" operator="greaterThanOrEqual">
      <formula>0</formula>
    </cfRule>
  </conditionalFormatting>
  <conditionalFormatting sqref="F633">
    <cfRule type="cellIs" dxfId="5" priority="40" operator="lessThan">
      <formula>-4100</formula>
    </cfRule>
  </conditionalFormatting>
  <conditionalFormatting sqref="F633">
    <cfRule type="cellIs" dxfId="5" priority="41" operator="lessThan">
      <formula>-4100</formula>
    </cfRule>
  </conditionalFormatting>
  <conditionalFormatting sqref="F633">
    <cfRule type="cellIs" dxfId="4" priority="42" operator="greaterThanOrEqual">
      <formula>0</formula>
    </cfRule>
  </conditionalFormatting>
  <conditionalFormatting sqref="F643">
    <cfRule type="cellIs" dxfId="4" priority="43" operator="greaterThanOrEqual">
      <formula>0</formula>
    </cfRule>
  </conditionalFormatting>
  <conditionalFormatting sqref="F643">
    <cfRule type="cellIs" dxfId="5" priority="44" operator="lessThan">
      <formula>-4100</formula>
    </cfRule>
  </conditionalFormatting>
  <conditionalFormatting sqref="F643">
    <cfRule type="cellIs" dxfId="4" priority="45" operator="greaterThanOrEqual">
      <formula>0</formula>
    </cfRule>
  </conditionalFormatting>
  <conditionalFormatting sqref="F643">
    <cfRule type="cellIs" dxfId="5" priority="46" operator="lessThan">
      <formula>-4100</formula>
    </cfRule>
  </conditionalFormatting>
  <conditionalFormatting sqref="F643">
    <cfRule type="cellIs" dxfId="4" priority="47" operator="greaterThanOrEqual">
      <formula>0</formula>
    </cfRule>
  </conditionalFormatting>
  <conditionalFormatting sqref="F643">
    <cfRule type="cellIs" dxfId="5" priority="48" operator="lessThan">
      <formula>-4100</formula>
    </cfRule>
  </conditionalFormatting>
  <conditionalFormatting sqref="F643">
    <cfRule type="cellIs" dxfId="5" priority="49" operator="lessThan">
      <formula>-4100</formula>
    </cfRule>
  </conditionalFormatting>
  <conditionalFormatting sqref="F643">
    <cfRule type="cellIs" dxfId="4" priority="50" operator="greaterThanOrEqual">
      <formula>0</formula>
    </cfRule>
  </conditionalFormatting>
  <conditionalFormatting sqref="F643">
    <cfRule type="cellIs" dxfId="4" priority="51" operator="greaterThanOrEqual">
      <formula>0</formula>
    </cfRule>
  </conditionalFormatting>
  <conditionalFormatting sqref="F643">
    <cfRule type="cellIs" dxfId="5" priority="52" operator="lessThan">
      <formula>-4100</formula>
    </cfRule>
  </conditionalFormatting>
  <conditionalFormatting sqref="F643">
    <cfRule type="cellIs" dxfId="4" priority="53" operator="greaterThanOrEqual">
      <formula>0</formula>
    </cfRule>
  </conditionalFormatting>
  <conditionalFormatting sqref="F643">
    <cfRule type="cellIs" dxfId="5" priority="54" operator="lessThan">
      <formula>-4100</formula>
    </cfRule>
  </conditionalFormatting>
  <conditionalFormatting sqref="F643">
    <cfRule type="cellIs" dxfId="4" priority="55" operator="greaterThanOrEqual">
      <formula>0</formula>
    </cfRule>
  </conditionalFormatting>
  <conditionalFormatting sqref="F643">
    <cfRule type="cellIs" dxfId="5" priority="56" operator="lessThan">
      <formula>-4100</formula>
    </cfRule>
  </conditionalFormatting>
  <conditionalFormatting sqref="F643">
    <cfRule type="cellIs" dxfId="4" priority="57" operator="greaterThanOrEqual">
      <formula>0</formula>
    </cfRule>
  </conditionalFormatting>
  <conditionalFormatting sqref="F643">
    <cfRule type="cellIs" dxfId="5" priority="58" operator="lessThan">
      <formula>-4100</formula>
    </cfRule>
  </conditionalFormatting>
  <conditionalFormatting sqref="E643">
    <cfRule type="cellIs" dxfId="6" priority="59" operator="greaterThan">
      <formula>0</formula>
    </cfRule>
  </conditionalFormatting>
  <conditionalFormatting sqref="H613">
    <cfRule type="expression" dxfId="0" priority="60">
      <formula>H613&lt;($D$371-6%)</formula>
    </cfRule>
  </conditionalFormatting>
  <conditionalFormatting sqref="H613">
    <cfRule type="expression" dxfId="1" priority="61">
      <formula>H613&gt;($D$371+6%)</formula>
    </cfRule>
  </conditionalFormatting>
  <conditionalFormatting sqref="H613">
    <cfRule type="expression" dxfId="2" priority="62">
      <formula>H613&lt;($D$371-3%)</formula>
    </cfRule>
  </conditionalFormatting>
  <conditionalFormatting sqref="H613">
    <cfRule type="expression" dxfId="3" priority="63">
      <formula>H613&gt;($D$371+3%)</formula>
    </cfRule>
  </conditionalFormatting>
  <conditionalFormatting sqref="H614">
    <cfRule type="expression" dxfId="0" priority="64">
      <formula>H614&lt;($D$371-6%)</formula>
    </cfRule>
  </conditionalFormatting>
  <conditionalFormatting sqref="H614">
    <cfRule type="expression" dxfId="1" priority="65">
      <formula>H614&gt;($D$371+6%)</formula>
    </cfRule>
  </conditionalFormatting>
  <conditionalFormatting sqref="H614">
    <cfRule type="expression" dxfId="2" priority="66">
      <formula>H614&lt;($D$371-3%)</formula>
    </cfRule>
  </conditionalFormatting>
  <conditionalFormatting sqref="H614">
    <cfRule type="expression" dxfId="3" priority="67">
      <formula>H614&gt;($D$371+3%)</formula>
    </cfRule>
  </conditionalFormatting>
  <conditionalFormatting sqref="F618">
    <cfRule type="cellIs" dxfId="5" priority="68" operator="lessThan">
      <formula>-4100</formula>
    </cfRule>
  </conditionalFormatting>
  <conditionalFormatting sqref="F618">
    <cfRule type="cellIs" dxfId="4" priority="69" operator="greaterThanOrEqual">
      <formula>0</formula>
    </cfRule>
  </conditionalFormatting>
  <conditionalFormatting sqref="F618">
    <cfRule type="cellIs" dxfId="4" priority="70" operator="greaterThanOrEqual">
      <formula>0</formula>
    </cfRule>
  </conditionalFormatting>
  <conditionalFormatting sqref="F618">
    <cfRule type="cellIs" dxfId="5" priority="71" operator="lessThan">
      <formula>-4100</formula>
    </cfRule>
  </conditionalFormatting>
  <conditionalFormatting sqref="F618">
    <cfRule type="cellIs" dxfId="4" priority="72" operator="greaterThanOrEqual">
      <formula>0</formula>
    </cfRule>
  </conditionalFormatting>
  <conditionalFormatting sqref="F618">
    <cfRule type="cellIs" dxfId="5" priority="73" operator="lessThan">
      <formula>-4100</formula>
    </cfRule>
  </conditionalFormatting>
  <conditionalFormatting sqref="F618">
    <cfRule type="cellIs" dxfId="4" priority="74" operator="greaterThanOrEqual">
      <formula>0</formula>
    </cfRule>
  </conditionalFormatting>
  <conditionalFormatting sqref="F618">
    <cfRule type="cellIs" dxfId="5" priority="75" operator="lessThan">
      <formula>-4100</formula>
    </cfRule>
  </conditionalFormatting>
  <conditionalFormatting sqref="F618">
    <cfRule type="cellIs" dxfId="4" priority="76" operator="greaterThanOrEqual">
      <formula>0</formula>
    </cfRule>
  </conditionalFormatting>
  <conditionalFormatting sqref="F618">
    <cfRule type="cellIs" dxfId="5" priority="77" operator="lessThan">
      <formula>-4100</formula>
    </cfRule>
  </conditionalFormatting>
  <conditionalFormatting sqref="F618">
    <cfRule type="cellIs" dxfId="5" priority="78" operator="lessThan">
      <formula>-4100</formula>
    </cfRule>
  </conditionalFormatting>
  <conditionalFormatting sqref="F618">
    <cfRule type="cellIs" dxfId="4" priority="79" operator="greaterThanOrEqual">
      <formula>0</formula>
    </cfRule>
  </conditionalFormatting>
  <conditionalFormatting sqref="F618">
    <cfRule type="cellIs" dxfId="4" priority="80" operator="greaterThanOrEqual">
      <formula>0</formula>
    </cfRule>
  </conditionalFormatting>
  <conditionalFormatting sqref="F618">
    <cfRule type="cellIs" dxfId="5" priority="81" operator="lessThan">
      <formula>-4100</formula>
    </cfRule>
  </conditionalFormatting>
  <conditionalFormatting sqref="F618">
    <cfRule type="cellIs" dxfId="4" priority="82" operator="greaterThanOrEqual">
      <formula>0</formula>
    </cfRule>
  </conditionalFormatting>
  <conditionalFormatting sqref="F618">
    <cfRule type="cellIs" dxfId="5" priority="83" operator="lessThan">
      <formula>-4100</formula>
    </cfRule>
  </conditionalFormatting>
  <conditionalFormatting sqref="E618">
    <cfRule type="cellIs" dxfId="6" priority="84" operator="greaterThan">
      <formula>0</formula>
    </cfRule>
  </conditionalFormatting>
  <conditionalFormatting sqref="F889">
    <cfRule type="cellIs" dxfId="4" priority="85" operator="greaterThanOrEqual">
      <formula>0</formula>
    </cfRule>
  </conditionalFormatting>
  <conditionalFormatting sqref="F889">
    <cfRule type="cellIs" dxfId="5" priority="86" operator="lessThan">
      <formula>-4100</formula>
    </cfRule>
  </conditionalFormatting>
  <conditionalFormatting sqref="F889">
    <cfRule type="cellIs" dxfId="4" priority="87" operator="greaterThanOrEqual">
      <formula>0</formula>
    </cfRule>
  </conditionalFormatting>
  <conditionalFormatting sqref="F889">
    <cfRule type="cellIs" dxfId="5" priority="88" operator="lessThan">
      <formula>-4100</formula>
    </cfRule>
  </conditionalFormatting>
  <conditionalFormatting sqref="F889">
    <cfRule type="cellIs" dxfId="4" priority="89" operator="greaterThanOrEqual">
      <formula>0</formula>
    </cfRule>
  </conditionalFormatting>
  <conditionalFormatting sqref="F889">
    <cfRule type="cellIs" dxfId="5" priority="90" operator="lessThan">
      <formula>-4100</formula>
    </cfRule>
  </conditionalFormatting>
  <conditionalFormatting sqref="F889">
    <cfRule type="cellIs" dxfId="4" priority="91" operator="greaterThanOrEqual">
      <formula>0</formula>
    </cfRule>
  </conditionalFormatting>
  <conditionalFormatting sqref="F889">
    <cfRule type="cellIs" dxfId="5" priority="92" operator="lessThan">
      <formula>-4100</formula>
    </cfRule>
  </conditionalFormatting>
  <conditionalFormatting sqref="F889">
    <cfRule type="cellIs" dxfId="4" priority="93" operator="greaterThanOrEqual">
      <formula>0</formula>
    </cfRule>
  </conditionalFormatting>
  <conditionalFormatting sqref="F889">
    <cfRule type="cellIs" dxfId="5" priority="94" operator="lessThan">
      <formula>-4100</formula>
    </cfRule>
  </conditionalFormatting>
  <conditionalFormatting sqref="F889">
    <cfRule type="cellIs" dxfId="4" priority="95" operator="greaterThanOrEqual">
      <formula>0</formula>
    </cfRule>
  </conditionalFormatting>
  <conditionalFormatting sqref="F889">
    <cfRule type="cellIs" dxfId="5" priority="96" operator="lessThan">
      <formula>-4100</formula>
    </cfRule>
  </conditionalFormatting>
  <conditionalFormatting sqref="F889">
    <cfRule type="cellIs" dxfId="4" priority="97" operator="greaterThanOrEqual">
      <formula>0</formula>
    </cfRule>
  </conditionalFormatting>
  <conditionalFormatting sqref="F889">
    <cfRule type="cellIs" dxfId="5" priority="98" operator="lessThan">
      <formula>-4100</formula>
    </cfRule>
  </conditionalFormatting>
  <conditionalFormatting sqref="F889">
    <cfRule type="cellIs" dxfId="4" priority="99" operator="greaterThanOrEqual">
      <formula>0</formula>
    </cfRule>
  </conditionalFormatting>
  <conditionalFormatting sqref="F889">
    <cfRule type="cellIs" dxfId="5" priority="100" operator="lessThan">
      <formula>-4100</formula>
    </cfRule>
  </conditionalFormatting>
  <conditionalFormatting sqref="E889">
    <cfRule type="cellIs" dxfId="6" priority="101" operator="greaterThan">
      <formula>0</formula>
    </cfRule>
  </conditionalFormatting>
  <conditionalFormatting sqref="H885">
    <cfRule type="expression" dxfId="0" priority="102">
      <formula>H885&lt;($D$371-6%)</formula>
    </cfRule>
  </conditionalFormatting>
  <conditionalFormatting sqref="H885">
    <cfRule type="expression" dxfId="1" priority="103">
      <formula>H885&gt;($D$371+6%)</formula>
    </cfRule>
  </conditionalFormatting>
  <conditionalFormatting sqref="H885">
    <cfRule type="expression" dxfId="2" priority="104">
      <formula>H885&lt;($D$371-3%)</formula>
    </cfRule>
  </conditionalFormatting>
  <conditionalFormatting sqref="H885">
    <cfRule type="expression" dxfId="3" priority="105">
      <formula>H885&gt;($D$371+3%)</formula>
    </cfRule>
  </conditionalFormatting>
  <conditionalFormatting sqref="H886">
    <cfRule type="expression" dxfId="0" priority="106">
      <formula>H886&lt;($D$371-6%)</formula>
    </cfRule>
  </conditionalFormatting>
  <conditionalFormatting sqref="H886">
    <cfRule type="expression" dxfId="1" priority="107">
      <formula>H886&gt;($D$371+6%)</formula>
    </cfRule>
  </conditionalFormatting>
  <conditionalFormatting sqref="H886">
    <cfRule type="expression" dxfId="2" priority="108">
      <formula>H886&lt;($D$371-3%)</formula>
    </cfRule>
  </conditionalFormatting>
  <conditionalFormatting sqref="H886">
    <cfRule type="expression" dxfId="3" priority="109">
      <formula>H886&gt;($D$371+3%)</formula>
    </cfRule>
  </conditionalFormatting>
  <conditionalFormatting sqref="H895">
    <cfRule type="expression" dxfId="0" priority="110">
      <formula>H895&lt;($D$371-6%)</formula>
    </cfRule>
  </conditionalFormatting>
  <conditionalFormatting sqref="H895">
    <cfRule type="expression" dxfId="1" priority="111">
      <formula>H895&gt;($D$371+6%)</formula>
    </cfRule>
  </conditionalFormatting>
  <conditionalFormatting sqref="H895">
    <cfRule type="expression" dxfId="2" priority="112">
      <formula>H895&lt;($D$371-3%)</formula>
    </cfRule>
  </conditionalFormatting>
  <conditionalFormatting sqref="H895">
    <cfRule type="expression" dxfId="3" priority="113">
      <formula>H895&gt;($D$371+3%)</formula>
    </cfRule>
  </conditionalFormatting>
  <conditionalFormatting sqref="H896">
    <cfRule type="expression" dxfId="0" priority="114">
      <formula>H896&lt;($D$371-6%)</formula>
    </cfRule>
  </conditionalFormatting>
  <conditionalFormatting sqref="H896">
    <cfRule type="expression" dxfId="1" priority="115">
      <formula>H896&gt;($D$371+6%)</formula>
    </cfRule>
  </conditionalFormatting>
  <conditionalFormatting sqref="H896">
    <cfRule type="expression" dxfId="2" priority="116">
      <formula>H896&lt;($D$371-3%)</formula>
    </cfRule>
  </conditionalFormatting>
  <conditionalFormatting sqref="H896">
    <cfRule type="expression" dxfId="3" priority="117">
      <formula>H896&gt;($D$371+3%)</formula>
    </cfRule>
  </conditionalFormatting>
  <conditionalFormatting sqref="F899">
    <cfRule type="cellIs" dxfId="4" priority="118" operator="greaterThanOrEqual">
      <formula>0</formula>
    </cfRule>
  </conditionalFormatting>
  <conditionalFormatting sqref="F899">
    <cfRule type="cellIs" dxfId="5" priority="119" operator="lessThan">
      <formula>-4100</formula>
    </cfRule>
  </conditionalFormatting>
  <conditionalFormatting sqref="F899">
    <cfRule type="cellIs" dxfId="4" priority="120" operator="greaterThanOrEqual">
      <formula>0</formula>
    </cfRule>
  </conditionalFormatting>
  <conditionalFormatting sqref="F899">
    <cfRule type="cellIs" dxfId="5" priority="121" operator="lessThan">
      <formula>-4100</formula>
    </cfRule>
  </conditionalFormatting>
  <conditionalFormatting sqref="F899">
    <cfRule type="cellIs" dxfId="4" priority="122" operator="greaterThanOrEqual">
      <formula>0</formula>
    </cfRule>
  </conditionalFormatting>
  <conditionalFormatting sqref="F899">
    <cfRule type="cellIs" dxfId="5" priority="123" operator="lessThan">
      <formula>-4100</formula>
    </cfRule>
  </conditionalFormatting>
  <conditionalFormatting sqref="F899">
    <cfRule type="cellIs" dxfId="4" priority="124" operator="greaterThanOrEqual">
      <formula>0</formula>
    </cfRule>
  </conditionalFormatting>
  <conditionalFormatting sqref="F899">
    <cfRule type="cellIs" dxfId="5" priority="125" operator="lessThan">
      <formula>-4100</formula>
    </cfRule>
  </conditionalFormatting>
  <conditionalFormatting sqref="F899">
    <cfRule type="cellIs" dxfId="4" priority="126" operator="greaterThanOrEqual">
      <formula>0</formula>
    </cfRule>
  </conditionalFormatting>
  <conditionalFormatting sqref="F899">
    <cfRule type="cellIs" dxfId="5" priority="127" operator="lessThan">
      <formula>-4100</formula>
    </cfRule>
  </conditionalFormatting>
  <conditionalFormatting sqref="F899">
    <cfRule type="cellIs" dxfId="4" priority="128" operator="greaterThanOrEqual">
      <formula>0</formula>
    </cfRule>
  </conditionalFormatting>
  <conditionalFormatting sqref="F899">
    <cfRule type="cellIs" dxfId="5" priority="129" operator="lessThan">
      <formula>-4100</formula>
    </cfRule>
  </conditionalFormatting>
  <conditionalFormatting sqref="F899">
    <cfRule type="cellIs" dxfId="4" priority="130" operator="greaterThanOrEqual">
      <formula>0</formula>
    </cfRule>
  </conditionalFormatting>
  <conditionalFormatting sqref="F899">
    <cfRule type="cellIs" dxfId="5" priority="131" operator="lessThan">
      <formula>-4100</formula>
    </cfRule>
  </conditionalFormatting>
  <conditionalFormatting sqref="F899">
    <cfRule type="cellIs" dxfId="4" priority="132" operator="greaterThanOrEqual">
      <formula>0</formula>
    </cfRule>
  </conditionalFormatting>
  <conditionalFormatting sqref="F899">
    <cfRule type="cellIs" dxfId="5" priority="133" operator="lessThan">
      <formula>-4100</formula>
    </cfRule>
  </conditionalFormatting>
  <conditionalFormatting sqref="E899">
    <cfRule type="cellIs" dxfId="6" priority="134" operator="greaterThan">
      <formula>0</formula>
    </cfRule>
  </conditionalFormatting>
  <conditionalFormatting sqref="F904">
    <cfRule type="cellIs" dxfId="4" priority="135" operator="greaterThanOrEqual">
      <formula>0</formula>
    </cfRule>
  </conditionalFormatting>
  <conditionalFormatting sqref="F904">
    <cfRule type="cellIs" dxfId="5" priority="136" operator="lessThan">
      <formula>-4100</formula>
    </cfRule>
  </conditionalFormatting>
  <conditionalFormatting sqref="F904">
    <cfRule type="cellIs" dxfId="4" priority="137" operator="greaterThanOrEqual">
      <formula>0</formula>
    </cfRule>
  </conditionalFormatting>
  <conditionalFormatting sqref="F904">
    <cfRule type="cellIs" dxfId="5" priority="138" operator="lessThan">
      <formula>-4100</formula>
    </cfRule>
  </conditionalFormatting>
  <conditionalFormatting sqref="F904">
    <cfRule type="cellIs" dxfId="4" priority="139" operator="greaterThanOrEqual">
      <formula>0</formula>
    </cfRule>
  </conditionalFormatting>
  <conditionalFormatting sqref="F904">
    <cfRule type="cellIs" dxfId="5" priority="140" operator="lessThan">
      <formula>-4100</formula>
    </cfRule>
  </conditionalFormatting>
  <conditionalFormatting sqref="F904">
    <cfRule type="cellIs" dxfId="4" priority="141" operator="greaterThanOrEqual">
      <formula>0</formula>
    </cfRule>
  </conditionalFormatting>
  <conditionalFormatting sqref="F904">
    <cfRule type="cellIs" dxfId="5" priority="142" operator="lessThan">
      <formula>-4100</formula>
    </cfRule>
  </conditionalFormatting>
  <conditionalFormatting sqref="F904">
    <cfRule type="cellIs" dxfId="4" priority="143" operator="greaterThanOrEqual">
      <formula>0</formula>
    </cfRule>
  </conditionalFormatting>
  <conditionalFormatting sqref="F904">
    <cfRule type="cellIs" dxfId="5" priority="144" operator="lessThan">
      <formula>-4100</formula>
    </cfRule>
  </conditionalFormatting>
  <conditionalFormatting sqref="F904">
    <cfRule type="cellIs" dxfId="4" priority="145" operator="greaterThanOrEqual">
      <formula>0</formula>
    </cfRule>
  </conditionalFormatting>
  <conditionalFormatting sqref="F904">
    <cfRule type="cellIs" dxfId="5" priority="146" operator="lessThan">
      <formula>-4100</formula>
    </cfRule>
  </conditionalFormatting>
  <conditionalFormatting sqref="F904">
    <cfRule type="cellIs" dxfId="4" priority="147" operator="greaterThanOrEqual">
      <formula>0</formula>
    </cfRule>
  </conditionalFormatting>
  <conditionalFormatting sqref="F904">
    <cfRule type="cellIs" dxfId="5" priority="148" operator="lessThan">
      <formula>-4100</formula>
    </cfRule>
  </conditionalFormatting>
  <conditionalFormatting sqref="F904">
    <cfRule type="cellIs" dxfId="4" priority="149" operator="greaterThanOrEqual">
      <formula>0</formula>
    </cfRule>
  </conditionalFormatting>
  <conditionalFormatting sqref="F904">
    <cfRule type="cellIs" dxfId="5" priority="150" operator="lessThan">
      <formula>-4100</formula>
    </cfRule>
  </conditionalFormatting>
  <conditionalFormatting sqref="E904">
    <cfRule type="cellIs" dxfId="6" priority="151" operator="greaterThan">
      <formula>0</formula>
    </cfRule>
  </conditionalFormatting>
  <conditionalFormatting sqref="H684:H685">
    <cfRule type="expression" dxfId="0" priority="152">
      <formula>H684&lt;($D$371-6%)</formula>
    </cfRule>
  </conditionalFormatting>
  <conditionalFormatting sqref="H684:H685">
    <cfRule type="expression" dxfId="1" priority="153">
      <formula>H684&gt;($D$371+6%)</formula>
    </cfRule>
  </conditionalFormatting>
  <conditionalFormatting sqref="H684:H685">
    <cfRule type="expression" dxfId="2" priority="154">
      <formula>H684&lt;($D$371-3%)</formula>
    </cfRule>
  </conditionalFormatting>
  <conditionalFormatting sqref="H684:H685">
    <cfRule type="expression" dxfId="3" priority="155">
      <formula>H684&gt;($D$371+3%)</formula>
    </cfRule>
  </conditionalFormatting>
  <conditionalFormatting sqref="F909">
    <cfRule type="cellIs" dxfId="5" priority="156" operator="lessThan">
      <formula>-4100</formula>
    </cfRule>
  </conditionalFormatting>
  <conditionalFormatting sqref="F909">
    <cfRule type="cellIs" dxfId="4" priority="157" operator="greaterThanOrEqual">
      <formula>0</formula>
    </cfRule>
  </conditionalFormatting>
  <conditionalFormatting sqref="F909">
    <cfRule type="cellIs" dxfId="4" priority="158" operator="greaterThanOrEqual">
      <formula>0</formula>
    </cfRule>
  </conditionalFormatting>
  <conditionalFormatting sqref="F909">
    <cfRule type="cellIs" dxfId="5" priority="159" operator="lessThan">
      <formula>-4100</formula>
    </cfRule>
  </conditionalFormatting>
  <conditionalFormatting sqref="F909">
    <cfRule type="cellIs" dxfId="4" priority="160" operator="greaterThanOrEqual">
      <formula>0</formula>
    </cfRule>
  </conditionalFormatting>
  <conditionalFormatting sqref="F909">
    <cfRule type="cellIs" dxfId="5" priority="161" operator="lessThan">
      <formula>-4100</formula>
    </cfRule>
  </conditionalFormatting>
  <conditionalFormatting sqref="F909">
    <cfRule type="cellIs" dxfId="4" priority="162" operator="greaterThanOrEqual">
      <formula>0</formula>
    </cfRule>
  </conditionalFormatting>
  <conditionalFormatting sqref="F909">
    <cfRule type="cellIs" dxfId="5" priority="163" operator="lessThan">
      <formula>-4100</formula>
    </cfRule>
  </conditionalFormatting>
  <conditionalFormatting sqref="E909">
    <cfRule type="cellIs" dxfId="6" priority="164" operator="greaterThan">
      <formula>0</formula>
    </cfRule>
  </conditionalFormatting>
  <conditionalFormatting sqref="F914">
    <cfRule type="cellIs" dxfId="5" priority="165" operator="lessThan">
      <formula>-4100</formula>
    </cfRule>
  </conditionalFormatting>
  <conditionalFormatting sqref="F914">
    <cfRule type="cellIs" dxfId="4" priority="166" operator="greaterThanOrEqual">
      <formula>0</formula>
    </cfRule>
  </conditionalFormatting>
  <conditionalFormatting sqref="F914">
    <cfRule type="cellIs" dxfId="4" priority="167" operator="greaterThanOrEqual">
      <formula>0</formula>
    </cfRule>
  </conditionalFormatting>
  <conditionalFormatting sqref="F914">
    <cfRule type="cellIs" dxfId="5" priority="168" operator="lessThan">
      <formula>-4100</formula>
    </cfRule>
  </conditionalFormatting>
  <conditionalFormatting sqref="F914">
    <cfRule type="cellIs" dxfId="4" priority="169" operator="greaterThanOrEqual">
      <formula>0</formula>
    </cfRule>
  </conditionalFormatting>
  <conditionalFormatting sqref="F914">
    <cfRule type="cellIs" dxfId="5" priority="170" operator="lessThan">
      <formula>-4100</formula>
    </cfRule>
  </conditionalFormatting>
  <conditionalFormatting sqref="F914">
    <cfRule type="cellIs" dxfId="4" priority="171" operator="greaterThanOrEqual">
      <formula>0</formula>
    </cfRule>
  </conditionalFormatting>
  <conditionalFormatting sqref="F914">
    <cfRule type="cellIs" dxfId="5" priority="172" operator="lessThan">
      <formula>-4100</formula>
    </cfRule>
  </conditionalFormatting>
  <conditionalFormatting sqref="E914">
    <cfRule type="cellIs" dxfId="6" priority="173" operator="greaterThan">
      <formula>0</formula>
    </cfRule>
  </conditionalFormatting>
  <conditionalFormatting sqref="F894">
    <cfRule type="cellIs" dxfId="4" priority="174" operator="greaterThanOrEqual">
      <formula>0</formula>
    </cfRule>
  </conditionalFormatting>
  <conditionalFormatting sqref="F894">
    <cfRule type="cellIs" dxfId="5" priority="175" operator="lessThan">
      <formula>-4100</formula>
    </cfRule>
  </conditionalFormatting>
  <conditionalFormatting sqref="F894">
    <cfRule type="cellIs" dxfId="4" priority="176" operator="greaterThanOrEqual">
      <formula>0</formula>
    </cfRule>
  </conditionalFormatting>
  <conditionalFormatting sqref="F894">
    <cfRule type="cellIs" dxfId="5" priority="177" operator="lessThan">
      <formula>-4100</formula>
    </cfRule>
  </conditionalFormatting>
  <conditionalFormatting sqref="F894">
    <cfRule type="cellIs" dxfId="4" priority="178" operator="greaterThanOrEqual">
      <formula>0</formula>
    </cfRule>
  </conditionalFormatting>
  <conditionalFormatting sqref="F894">
    <cfRule type="cellIs" dxfId="5" priority="179" operator="lessThan">
      <formula>-4100</formula>
    </cfRule>
  </conditionalFormatting>
  <conditionalFormatting sqref="F894">
    <cfRule type="cellIs" dxfId="4" priority="180" operator="greaterThanOrEqual">
      <formula>0</formula>
    </cfRule>
  </conditionalFormatting>
  <conditionalFormatting sqref="F894">
    <cfRule type="cellIs" dxfId="5" priority="181" operator="lessThan">
      <formula>-4100</formula>
    </cfRule>
  </conditionalFormatting>
  <conditionalFormatting sqref="F894">
    <cfRule type="cellIs" dxfId="4" priority="182" operator="greaterThanOrEqual">
      <formula>0</formula>
    </cfRule>
  </conditionalFormatting>
  <conditionalFormatting sqref="F894">
    <cfRule type="cellIs" dxfId="5" priority="183" operator="lessThan">
      <formula>-4100</formula>
    </cfRule>
  </conditionalFormatting>
  <conditionalFormatting sqref="F894">
    <cfRule type="cellIs" dxfId="4" priority="184" operator="greaterThanOrEqual">
      <formula>0</formula>
    </cfRule>
  </conditionalFormatting>
  <conditionalFormatting sqref="F894">
    <cfRule type="cellIs" dxfId="5" priority="185" operator="lessThan">
      <formula>-4100</formula>
    </cfRule>
  </conditionalFormatting>
  <conditionalFormatting sqref="F894">
    <cfRule type="cellIs" dxfId="4" priority="186" operator="greaterThanOrEqual">
      <formula>0</formula>
    </cfRule>
  </conditionalFormatting>
  <conditionalFormatting sqref="F894">
    <cfRule type="cellIs" dxfId="5" priority="187" operator="lessThan">
      <formula>-4100</formula>
    </cfRule>
  </conditionalFormatting>
  <conditionalFormatting sqref="F894">
    <cfRule type="cellIs" dxfId="4" priority="188" operator="greaterThanOrEqual">
      <formula>0</formula>
    </cfRule>
  </conditionalFormatting>
  <conditionalFormatting sqref="F894">
    <cfRule type="cellIs" dxfId="5" priority="189" operator="lessThan">
      <formula>-4100</formula>
    </cfRule>
  </conditionalFormatting>
  <conditionalFormatting sqref="E894">
    <cfRule type="cellIs" dxfId="6" priority="190" operator="greaterThan">
      <formula>0</formula>
    </cfRule>
  </conditionalFormatting>
  <conditionalFormatting sqref="H775">
    <cfRule type="expression" dxfId="0" priority="191">
      <formula>H775&lt;($D$371-6%)</formula>
    </cfRule>
  </conditionalFormatting>
  <conditionalFormatting sqref="H775">
    <cfRule type="expression" dxfId="1" priority="192">
      <formula>H775&gt;($D$371+6%)</formula>
    </cfRule>
  </conditionalFormatting>
  <conditionalFormatting sqref="H775">
    <cfRule type="expression" dxfId="2" priority="193">
      <formula>H775&lt;($D$371-3%)</formula>
    </cfRule>
  </conditionalFormatting>
  <conditionalFormatting sqref="H775">
    <cfRule type="expression" dxfId="3" priority="194">
      <formula>H775&gt;($D$371+3%)</formula>
    </cfRule>
  </conditionalFormatting>
  <conditionalFormatting sqref="F778">
    <cfRule type="cellIs" dxfId="4" priority="195" operator="greaterThanOrEqual">
      <formula>0</formula>
    </cfRule>
  </conditionalFormatting>
  <conditionalFormatting sqref="F778">
    <cfRule type="cellIs" dxfId="5" priority="196" operator="lessThan">
      <formula>-4100</formula>
    </cfRule>
  </conditionalFormatting>
  <conditionalFormatting sqref="F778">
    <cfRule type="cellIs" dxfId="4" priority="197" operator="greaterThanOrEqual">
      <formula>0</formula>
    </cfRule>
  </conditionalFormatting>
  <conditionalFormatting sqref="F778">
    <cfRule type="cellIs" dxfId="5" priority="198" operator="lessThan">
      <formula>-4100</formula>
    </cfRule>
  </conditionalFormatting>
  <conditionalFormatting sqref="F778">
    <cfRule type="cellIs" dxfId="4" priority="199" operator="greaterThanOrEqual">
      <formula>0</formula>
    </cfRule>
  </conditionalFormatting>
  <conditionalFormatting sqref="F778">
    <cfRule type="cellIs" dxfId="5" priority="200" operator="lessThan">
      <formula>-4100</formula>
    </cfRule>
  </conditionalFormatting>
  <conditionalFormatting sqref="F778">
    <cfRule type="cellIs" dxfId="4" priority="201" operator="greaterThanOrEqual">
      <formula>0</formula>
    </cfRule>
  </conditionalFormatting>
  <conditionalFormatting sqref="F778">
    <cfRule type="cellIs" dxfId="5" priority="202" operator="lessThan">
      <formula>-4100</formula>
    </cfRule>
  </conditionalFormatting>
  <conditionalFormatting sqref="F778">
    <cfRule type="cellIs" dxfId="4" priority="203" operator="greaterThanOrEqual">
      <formula>0</formula>
    </cfRule>
  </conditionalFormatting>
  <conditionalFormatting sqref="F778">
    <cfRule type="cellIs" dxfId="5" priority="204" operator="lessThan">
      <formula>-4100</formula>
    </cfRule>
  </conditionalFormatting>
  <conditionalFormatting sqref="F778">
    <cfRule type="cellIs" dxfId="4" priority="205" operator="greaterThanOrEqual">
      <formula>0</formula>
    </cfRule>
  </conditionalFormatting>
  <conditionalFormatting sqref="F778">
    <cfRule type="cellIs" dxfId="5" priority="206" operator="lessThan">
      <formula>-4100</formula>
    </cfRule>
  </conditionalFormatting>
  <conditionalFormatting sqref="F778">
    <cfRule type="cellIs" dxfId="4" priority="207" operator="greaterThanOrEqual">
      <formula>0</formula>
    </cfRule>
  </conditionalFormatting>
  <conditionalFormatting sqref="F778">
    <cfRule type="cellIs" dxfId="5" priority="208" operator="lessThan">
      <formula>-4100</formula>
    </cfRule>
  </conditionalFormatting>
  <conditionalFormatting sqref="F778">
    <cfRule type="cellIs" dxfId="4" priority="209" operator="greaterThanOrEqual">
      <formula>0</formula>
    </cfRule>
  </conditionalFormatting>
  <conditionalFormatting sqref="F778">
    <cfRule type="cellIs" dxfId="5" priority="210" operator="lessThan">
      <formula>-4100</formula>
    </cfRule>
  </conditionalFormatting>
  <conditionalFormatting sqref="E778">
    <cfRule type="cellIs" dxfId="6" priority="211" operator="greaterThan">
      <formula>0</formula>
    </cfRule>
  </conditionalFormatting>
  <conditionalFormatting sqref="F678">
    <cfRule type="cellIs" dxfId="4" priority="212" operator="greaterThanOrEqual">
      <formula>0</formula>
    </cfRule>
  </conditionalFormatting>
  <conditionalFormatting sqref="F678">
    <cfRule type="cellIs" dxfId="5" priority="213" operator="lessThan">
      <formula>-4100</formula>
    </cfRule>
  </conditionalFormatting>
  <conditionalFormatting sqref="F678">
    <cfRule type="cellIs" dxfId="4" priority="214" operator="greaterThanOrEqual">
      <formula>0</formula>
    </cfRule>
  </conditionalFormatting>
  <conditionalFormatting sqref="F678">
    <cfRule type="cellIs" dxfId="5" priority="215" operator="lessThan">
      <formula>-4100</formula>
    </cfRule>
  </conditionalFormatting>
  <conditionalFormatting sqref="F678">
    <cfRule type="cellIs" dxfId="4" priority="216" operator="greaterThanOrEqual">
      <formula>0</formula>
    </cfRule>
  </conditionalFormatting>
  <conditionalFormatting sqref="F678">
    <cfRule type="cellIs" dxfId="5" priority="217" operator="lessThan">
      <formula>-4100</formula>
    </cfRule>
  </conditionalFormatting>
  <conditionalFormatting sqref="F678">
    <cfRule type="cellIs" dxfId="4" priority="218" operator="greaterThanOrEqual">
      <formula>0</formula>
    </cfRule>
  </conditionalFormatting>
  <conditionalFormatting sqref="F678">
    <cfRule type="cellIs" dxfId="5" priority="219" operator="lessThan">
      <formula>-4100</formula>
    </cfRule>
  </conditionalFormatting>
  <conditionalFormatting sqref="E678">
    <cfRule type="cellIs" dxfId="6" priority="220" operator="greaterThan">
      <formula>0</formula>
    </cfRule>
  </conditionalFormatting>
  <conditionalFormatting sqref="F678">
    <cfRule type="cellIs" dxfId="4" priority="221" operator="greaterThanOrEqual">
      <formula>0</formula>
    </cfRule>
  </conditionalFormatting>
  <conditionalFormatting sqref="F678">
    <cfRule type="cellIs" dxfId="5" priority="222" operator="lessThan">
      <formula>-4100</formula>
    </cfRule>
  </conditionalFormatting>
  <conditionalFormatting sqref="F678">
    <cfRule type="cellIs" dxfId="4" priority="223" operator="greaterThanOrEqual">
      <formula>0</formula>
    </cfRule>
  </conditionalFormatting>
  <conditionalFormatting sqref="F678">
    <cfRule type="cellIs" dxfId="5" priority="224" operator="lessThan">
      <formula>-4100</formula>
    </cfRule>
  </conditionalFormatting>
  <conditionalFormatting sqref="F678">
    <cfRule type="cellIs" dxfId="5" priority="225" operator="lessThan">
      <formula>-4100</formula>
    </cfRule>
  </conditionalFormatting>
  <conditionalFormatting sqref="F678">
    <cfRule type="cellIs" dxfId="4" priority="226" operator="greaterThanOrEqual">
      <formula>0</formula>
    </cfRule>
  </conditionalFormatting>
  <conditionalFormatting sqref="F678">
    <cfRule type="cellIs" dxfId="4" priority="227" operator="greaterThanOrEqual">
      <formula>0</formula>
    </cfRule>
  </conditionalFormatting>
  <conditionalFormatting sqref="F678">
    <cfRule type="cellIs" dxfId="5" priority="228" operator="lessThan">
      <formula>-4100</formula>
    </cfRule>
  </conditionalFormatting>
  <conditionalFormatting sqref="H774">
    <cfRule type="expression" dxfId="0" priority="229">
      <formula>H774&lt;($D$371-6%)</formula>
    </cfRule>
  </conditionalFormatting>
  <conditionalFormatting sqref="H774">
    <cfRule type="expression" dxfId="1" priority="230">
      <formula>H774&gt;($D$371+6%)</formula>
    </cfRule>
  </conditionalFormatting>
  <conditionalFormatting sqref="H774">
    <cfRule type="expression" dxfId="2" priority="231">
      <formula>H774&lt;($D$371-3%)</formula>
    </cfRule>
  </conditionalFormatting>
  <conditionalFormatting sqref="H774">
    <cfRule type="expression" dxfId="3" priority="232">
      <formula>H774&gt;($D$371+3%)</formula>
    </cfRule>
  </conditionalFormatting>
  <conditionalFormatting sqref="F683">
    <cfRule type="cellIs" dxfId="5" priority="233" operator="lessThan">
      <formula>-4100</formula>
    </cfRule>
  </conditionalFormatting>
  <conditionalFormatting sqref="F683">
    <cfRule type="cellIs" dxfId="4" priority="234" operator="greaterThanOrEqual">
      <formula>0</formula>
    </cfRule>
  </conditionalFormatting>
  <conditionalFormatting sqref="F683">
    <cfRule type="cellIs" dxfId="4" priority="235" operator="greaterThanOrEqual">
      <formula>0</formula>
    </cfRule>
  </conditionalFormatting>
  <conditionalFormatting sqref="F683">
    <cfRule type="cellIs" dxfId="5" priority="236" operator="lessThan">
      <formula>-4100</formula>
    </cfRule>
  </conditionalFormatting>
  <conditionalFormatting sqref="F683">
    <cfRule type="cellIs" dxfId="4" priority="237" operator="greaterThanOrEqual">
      <formula>0</formula>
    </cfRule>
  </conditionalFormatting>
  <conditionalFormatting sqref="F683">
    <cfRule type="cellIs" dxfId="5" priority="238" operator="lessThan">
      <formula>-4100</formula>
    </cfRule>
  </conditionalFormatting>
  <conditionalFormatting sqref="F683">
    <cfRule type="cellIs" dxfId="4" priority="239" operator="greaterThanOrEqual">
      <formula>0</formula>
    </cfRule>
  </conditionalFormatting>
  <conditionalFormatting sqref="F683">
    <cfRule type="cellIs" dxfId="5" priority="240" operator="lessThan">
      <formula>-4100</formula>
    </cfRule>
  </conditionalFormatting>
  <conditionalFormatting sqref="F683">
    <cfRule type="cellIs" dxfId="4" priority="241" operator="greaterThanOrEqual">
      <formula>0</formula>
    </cfRule>
  </conditionalFormatting>
  <conditionalFormatting sqref="F683">
    <cfRule type="cellIs" dxfId="5" priority="242" operator="lessThan">
      <formula>-4100</formula>
    </cfRule>
  </conditionalFormatting>
  <conditionalFormatting sqref="E683">
    <cfRule type="cellIs" dxfId="6" priority="243" operator="greaterThan">
      <formula>0</formula>
    </cfRule>
  </conditionalFormatting>
  <conditionalFormatting sqref="F683">
    <cfRule type="cellIs" dxfId="4" priority="244" operator="greaterThanOrEqual">
      <formula>0</formula>
    </cfRule>
  </conditionalFormatting>
  <conditionalFormatting sqref="F683">
    <cfRule type="cellIs" dxfId="5" priority="245" operator="lessThan">
      <formula>-4100</formula>
    </cfRule>
  </conditionalFormatting>
  <conditionalFormatting sqref="F683">
    <cfRule type="cellIs" dxfId="4" priority="246" operator="greaterThanOrEqual">
      <formula>0</formula>
    </cfRule>
  </conditionalFormatting>
  <conditionalFormatting sqref="F683">
    <cfRule type="cellIs" dxfId="5" priority="247" operator="lessThan">
      <formula>-4100</formula>
    </cfRule>
  </conditionalFormatting>
  <conditionalFormatting sqref="F683">
    <cfRule type="cellIs" dxfId="4" priority="248" operator="greaterThanOrEqual">
      <formula>0</formula>
    </cfRule>
  </conditionalFormatting>
  <conditionalFormatting sqref="F683">
    <cfRule type="cellIs" dxfId="5" priority="249" operator="lessThan">
      <formula>-4100</formula>
    </cfRule>
  </conditionalFormatting>
  <conditionalFormatting sqref="F883">
    <cfRule type="cellIs" dxfId="4" priority="250" operator="greaterThanOrEqual">
      <formula>0</formula>
    </cfRule>
  </conditionalFormatting>
  <conditionalFormatting sqref="F883">
    <cfRule type="cellIs" dxfId="5" priority="251" operator="lessThan">
      <formula>-4100</formula>
    </cfRule>
  </conditionalFormatting>
  <conditionalFormatting sqref="F883">
    <cfRule type="cellIs" dxfId="4" priority="252" operator="greaterThanOrEqual">
      <formula>0</formula>
    </cfRule>
  </conditionalFormatting>
  <conditionalFormatting sqref="F883">
    <cfRule type="cellIs" dxfId="5" priority="253" operator="lessThan">
      <formula>-4100</formula>
    </cfRule>
  </conditionalFormatting>
  <conditionalFormatting sqref="F883">
    <cfRule type="cellIs" dxfId="4" priority="254" operator="greaterThanOrEqual">
      <formula>0</formula>
    </cfRule>
  </conditionalFormatting>
  <conditionalFormatting sqref="F883">
    <cfRule type="cellIs" dxfId="5" priority="255" operator="lessThan">
      <formula>-4100</formula>
    </cfRule>
  </conditionalFormatting>
  <conditionalFormatting sqref="F883">
    <cfRule type="cellIs" dxfId="4" priority="256" operator="greaterThanOrEqual">
      <formula>0</formula>
    </cfRule>
  </conditionalFormatting>
  <conditionalFormatting sqref="F883">
    <cfRule type="cellIs" dxfId="5" priority="257" operator="lessThan">
      <formula>-4100</formula>
    </cfRule>
  </conditionalFormatting>
  <conditionalFormatting sqref="F883">
    <cfRule type="cellIs" dxfId="4" priority="258" operator="greaterThanOrEqual">
      <formula>0</formula>
    </cfRule>
  </conditionalFormatting>
  <conditionalFormatting sqref="F883">
    <cfRule type="cellIs" dxfId="5" priority="259" operator="lessThan">
      <formula>-4100</formula>
    </cfRule>
  </conditionalFormatting>
  <conditionalFormatting sqref="F883">
    <cfRule type="cellIs" dxfId="4" priority="260" operator="greaterThanOrEqual">
      <formula>0</formula>
    </cfRule>
  </conditionalFormatting>
  <conditionalFormatting sqref="F883">
    <cfRule type="cellIs" dxfId="5" priority="261" operator="lessThan">
      <formula>-4100</formula>
    </cfRule>
  </conditionalFormatting>
  <conditionalFormatting sqref="F883">
    <cfRule type="cellIs" dxfId="4" priority="262" operator="greaterThanOrEqual">
      <formula>0</formula>
    </cfRule>
  </conditionalFormatting>
  <conditionalFormatting sqref="F883">
    <cfRule type="cellIs" dxfId="5" priority="263" operator="lessThan">
      <formula>-4100</formula>
    </cfRule>
  </conditionalFormatting>
  <conditionalFormatting sqref="F883">
    <cfRule type="cellIs" dxfId="4" priority="264" operator="greaterThanOrEqual">
      <formula>0</formula>
    </cfRule>
  </conditionalFormatting>
  <conditionalFormatting sqref="F883">
    <cfRule type="cellIs" dxfId="5" priority="265" operator="lessThan">
      <formula>-4100</formula>
    </cfRule>
  </conditionalFormatting>
  <conditionalFormatting sqref="E883">
    <cfRule type="cellIs" dxfId="6" priority="266" operator="greaterThan">
      <formula>0</formula>
    </cfRule>
  </conditionalFormatting>
  <conditionalFormatting sqref="H513">
    <cfRule type="expression" dxfId="0" priority="267">
      <formula>H513&lt;($D$371-6%)</formula>
    </cfRule>
  </conditionalFormatting>
  <conditionalFormatting sqref="H513">
    <cfRule type="expression" dxfId="1" priority="268">
      <formula>H513&gt;($D$371+6%)</formula>
    </cfRule>
  </conditionalFormatting>
  <conditionalFormatting sqref="H513">
    <cfRule type="expression" dxfId="2" priority="269">
      <formula>H513&lt;($D$371-3%)</formula>
    </cfRule>
  </conditionalFormatting>
  <conditionalFormatting sqref="H513">
    <cfRule type="expression" dxfId="3" priority="270">
      <formula>H513&gt;($D$371+3%)</formula>
    </cfRule>
  </conditionalFormatting>
  <conditionalFormatting sqref="H514">
    <cfRule type="expression" dxfId="0" priority="271">
      <formula>H514&lt;($D$371-6%)</formula>
    </cfRule>
  </conditionalFormatting>
  <conditionalFormatting sqref="H514">
    <cfRule type="expression" dxfId="1" priority="272">
      <formula>H514&gt;($D$371+6%)</formula>
    </cfRule>
  </conditionalFormatting>
  <conditionalFormatting sqref="H514">
    <cfRule type="expression" dxfId="2" priority="273">
      <formula>H514&lt;($D$371-3%)</formula>
    </cfRule>
  </conditionalFormatting>
  <conditionalFormatting sqref="H514">
    <cfRule type="expression" dxfId="3" priority="274">
      <formula>H514&gt;($D$371+3%)</formula>
    </cfRule>
  </conditionalFormatting>
  <conditionalFormatting sqref="F833">
    <cfRule type="cellIs" dxfId="4" priority="275" operator="greaterThanOrEqual">
      <formula>0</formula>
    </cfRule>
  </conditionalFormatting>
  <conditionalFormatting sqref="F833">
    <cfRule type="cellIs" dxfId="5" priority="276" operator="lessThan">
      <formula>-4100</formula>
    </cfRule>
  </conditionalFormatting>
  <conditionalFormatting sqref="F833">
    <cfRule type="cellIs" dxfId="4" priority="277" operator="greaterThanOrEqual">
      <formula>0</formula>
    </cfRule>
  </conditionalFormatting>
  <conditionalFormatting sqref="F833">
    <cfRule type="cellIs" dxfId="5" priority="278" operator="lessThan">
      <formula>-4100</formula>
    </cfRule>
  </conditionalFormatting>
  <conditionalFormatting sqref="F833">
    <cfRule type="cellIs" dxfId="4" priority="279" operator="greaterThanOrEqual">
      <formula>0</formula>
    </cfRule>
  </conditionalFormatting>
  <conditionalFormatting sqref="F833">
    <cfRule type="cellIs" dxfId="5" priority="280" operator="lessThan">
      <formula>-4100</formula>
    </cfRule>
  </conditionalFormatting>
  <conditionalFormatting sqref="F833">
    <cfRule type="cellIs" dxfId="4" priority="281" operator="greaterThanOrEqual">
      <formula>0</formula>
    </cfRule>
  </conditionalFormatting>
  <conditionalFormatting sqref="F833">
    <cfRule type="cellIs" dxfId="5" priority="282" operator="lessThan">
      <formula>-4100</formula>
    </cfRule>
  </conditionalFormatting>
  <conditionalFormatting sqref="E833">
    <cfRule type="cellIs" dxfId="6" priority="283" operator="greaterThan">
      <formula>0</formula>
    </cfRule>
  </conditionalFormatting>
  <conditionalFormatting sqref="F833">
    <cfRule type="cellIs" dxfId="4" priority="284" operator="greaterThanOrEqual">
      <formula>0</formula>
    </cfRule>
  </conditionalFormatting>
  <conditionalFormatting sqref="F833">
    <cfRule type="cellIs" dxfId="5" priority="285" operator="lessThan">
      <formula>-4100</formula>
    </cfRule>
  </conditionalFormatting>
  <conditionalFormatting sqref="F833">
    <cfRule type="cellIs" dxfId="4" priority="286" operator="greaterThanOrEqual">
      <formula>0</formula>
    </cfRule>
  </conditionalFormatting>
  <conditionalFormatting sqref="F833">
    <cfRule type="cellIs" dxfId="5" priority="287" operator="lessThan">
      <formula>-4100</formula>
    </cfRule>
  </conditionalFormatting>
  <conditionalFormatting sqref="F833">
    <cfRule type="cellIs" dxfId="4" priority="288" operator="greaterThanOrEqual">
      <formula>0</formula>
    </cfRule>
  </conditionalFormatting>
  <conditionalFormatting sqref="F833">
    <cfRule type="cellIs" dxfId="5" priority="289" operator="lessThan">
      <formula>-4100</formula>
    </cfRule>
  </conditionalFormatting>
  <conditionalFormatting sqref="F833">
    <cfRule type="cellIs" dxfId="4" priority="290" operator="greaterThanOrEqual">
      <formula>0</formula>
    </cfRule>
  </conditionalFormatting>
  <conditionalFormatting sqref="F833">
    <cfRule type="cellIs" dxfId="5" priority="291" operator="lessThan">
      <formula>-4100</formula>
    </cfRule>
  </conditionalFormatting>
  <conditionalFormatting sqref="F848">
    <cfRule type="cellIs" dxfId="4" priority="292" operator="greaterThanOrEqual">
      <formula>0</formula>
    </cfRule>
  </conditionalFormatting>
  <conditionalFormatting sqref="F848">
    <cfRule type="cellIs" dxfId="5" priority="293" operator="lessThan">
      <formula>-4100</formula>
    </cfRule>
  </conditionalFormatting>
  <conditionalFormatting sqref="F848">
    <cfRule type="cellIs" dxfId="4" priority="294" operator="greaterThanOrEqual">
      <formula>0</formula>
    </cfRule>
  </conditionalFormatting>
  <conditionalFormatting sqref="F848">
    <cfRule type="cellIs" dxfId="5" priority="295" operator="lessThan">
      <formula>-4100</formula>
    </cfRule>
  </conditionalFormatting>
  <conditionalFormatting sqref="F848">
    <cfRule type="cellIs" dxfId="4" priority="296" operator="greaterThanOrEqual">
      <formula>0</formula>
    </cfRule>
  </conditionalFormatting>
  <conditionalFormatting sqref="F848">
    <cfRule type="cellIs" dxfId="5" priority="297" operator="lessThan">
      <formula>-4100</formula>
    </cfRule>
  </conditionalFormatting>
  <conditionalFormatting sqref="F848">
    <cfRule type="cellIs" dxfId="4" priority="298" operator="greaterThanOrEqual">
      <formula>0</formula>
    </cfRule>
  </conditionalFormatting>
  <conditionalFormatting sqref="F848">
    <cfRule type="cellIs" dxfId="5" priority="299" operator="lessThan">
      <formula>-4100</formula>
    </cfRule>
  </conditionalFormatting>
  <conditionalFormatting sqref="F848">
    <cfRule type="cellIs" dxfId="4" priority="300" operator="greaterThanOrEqual">
      <formula>0</formula>
    </cfRule>
  </conditionalFormatting>
  <conditionalFormatting sqref="F848">
    <cfRule type="cellIs" dxfId="5" priority="301" operator="lessThan">
      <formula>-4100</formula>
    </cfRule>
  </conditionalFormatting>
  <conditionalFormatting sqref="F848">
    <cfRule type="cellIs" dxfId="4" priority="302" operator="greaterThanOrEqual">
      <formula>0</formula>
    </cfRule>
  </conditionalFormatting>
  <conditionalFormatting sqref="F848">
    <cfRule type="cellIs" dxfId="5" priority="303" operator="lessThan">
      <formula>-4100</formula>
    </cfRule>
  </conditionalFormatting>
  <conditionalFormatting sqref="F848">
    <cfRule type="cellIs" dxfId="4" priority="304" operator="greaterThanOrEqual">
      <formula>0</formula>
    </cfRule>
  </conditionalFormatting>
  <conditionalFormatting sqref="F848">
    <cfRule type="cellIs" dxfId="5" priority="305" operator="lessThan">
      <formula>-4100</formula>
    </cfRule>
  </conditionalFormatting>
  <conditionalFormatting sqref="F848">
    <cfRule type="cellIs" dxfId="4" priority="306" operator="greaterThanOrEqual">
      <formula>0</formula>
    </cfRule>
  </conditionalFormatting>
  <conditionalFormatting sqref="F848">
    <cfRule type="cellIs" dxfId="5" priority="307" operator="lessThan">
      <formula>-4100</formula>
    </cfRule>
  </conditionalFormatting>
  <conditionalFormatting sqref="E848">
    <cfRule type="cellIs" dxfId="6" priority="308" operator="greaterThan">
      <formula>0</formula>
    </cfRule>
  </conditionalFormatting>
  <conditionalFormatting sqref="F843">
    <cfRule type="cellIs" dxfId="4" priority="309" operator="greaterThanOrEqual">
      <formula>0</formula>
    </cfRule>
  </conditionalFormatting>
  <conditionalFormatting sqref="F843">
    <cfRule type="cellIs" dxfId="5" priority="310" operator="lessThan">
      <formula>-4100</formula>
    </cfRule>
  </conditionalFormatting>
  <conditionalFormatting sqref="F843">
    <cfRule type="cellIs" dxfId="4" priority="311" operator="greaterThanOrEqual">
      <formula>0</formula>
    </cfRule>
  </conditionalFormatting>
  <conditionalFormatting sqref="F843">
    <cfRule type="cellIs" dxfId="5" priority="312" operator="lessThan">
      <formula>-4100</formula>
    </cfRule>
  </conditionalFormatting>
  <conditionalFormatting sqref="F843">
    <cfRule type="cellIs" dxfId="4" priority="313" operator="greaterThanOrEqual">
      <formula>0</formula>
    </cfRule>
  </conditionalFormatting>
  <conditionalFormatting sqref="F843">
    <cfRule type="cellIs" dxfId="5" priority="314" operator="lessThan">
      <formula>-4100</formula>
    </cfRule>
  </conditionalFormatting>
  <conditionalFormatting sqref="F843">
    <cfRule type="cellIs" dxfId="4" priority="315" operator="greaterThanOrEqual">
      <formula>0</formula>
    </cfRule>
  </conditionalFormatting>
  <conditionalFormatting sqref="F843">
    <cfRule type="cellIs" dxfId="5" priority="316" operator="lessThan">
      <formula>-4100</formula>
    </cfRule>
  </conditionalFormatting>
  <conditionalFormatting sqref="F843">
    <cfRule type="cellIs" dxfId="4" priority="317" operator="greaterThanOrEqual">
      <formula>0</formula>
    </cfRule>
  </conditionalFormatting>
  <conditionalFormatting sqref="F843">
    <cfRule type="cellIs" dxfId="5" priority="318" operator="lessThan">
      <formula>-4100</formula>
    </cfRule>
  </conditionalFormatting>
  <conditionalFormatting sqref="F843">
    <cfRule type="cellIs" dxfId="4" priority="319" operator="greaterThanOrEqual">
      <formula>0</formula>
    </cfRule>
  </conditionalFormatting>
  <conditionalFormatting sqref="F843">
    <cfRule type="cellIs" dxfId="5" priority="320" operator="lessThan">
      <formula>-4100</formula>
    </cfRule>
  </conditionalFormatting>
  <conditionalFormatting sqref="F843">
    <cfRule type="cellIs" dxfId="4" priority="321" operator="greaterThanOrEqual">
      <formula>0</formula>
    </cfRule>
  </conditionalFormatting>
  <conditionalFormatting sqref="F843">
    <cfRule type="cellIs" dxfId="5" priority="322" operator="lessThan">
      <formula>-4100</formula>
    </cfRule>
  </conditionalFormatting>
  <conditionalFormatting sqref="F843">
    <cfRule type="cellIs" dxfId="4" priority="323" operator="greaterThanOrEqual">
      <formula>0</formula>
    </cfRule>
  </conditionalFormatting>
  <conditionalFormatting sqref="F843">
    <cfRule type="cellIs" dxfId="5" priority="324" operator="lessThan">
      <formula>-4100</formula>
    </cfRule>
  </conditionalFormatting>
  <conditionalFormatting sqref="E843">
    <cfRule type="cellIs" dxfId="6" priority="325" operator="greaterThan">
      <formula>0</formula>
    </cfRule>
  </conditionalFormatting>
  <conditionalFormatting sqref="F828">
    <cfRule type="cellIs" dxfId="4" priority="326" operator="greaterThanOrEqual">
      <formula>0</formula>
    </cfRule>
  </conditionalFormatting>
  <conditionalFormatting sqref="F828">
    <cfRule type="cellIs" dxfId="5" priority="327" operator="lessThan">
      <formula>-4100</formula>
    </cfRule>
  </conditionalFormatting>
  <conditionalFormatting sqref="F828">
    <cfRule type="cellIs" dxfId="4" priority="328" operator="greaterThanOrEqual">
      <formula>0</formula>
    </cfRule>
  </conditionalFormatting>
  <conditionalFormatting sqref="F828">
    <cfRule type="cellIs" dxfId="5" priority="329" operator="lessThan">
      <formula>-4100</formula>
    </cfRule>
  </conditionalFormatting>
  <conditionalFormatting sqref="F828">
    <cfRule type="cellIs" dxfId="4" priority="330" operator="greaterThanOrEqual">
      <formula>0</formula>
    </cfRule>
  </conditionalFormatting>
  <conditionalFormatting sqref="F828">
    <cfRule type="cellIs" dxfId="5" priority="331" operator="lessThan">
      <formula>-4100</formula>
    </cfRule>
  </conditionalFormatting>
  <conditionalFormatting sqref="F828">
    <cfRule type="cellIs" dxfId="4" priority="332" operator="greaterThanOrEqual">
      <formula>0</formula>
    </cfRule>
  </conditionalFormatting>
  <conditionalFormatting sqref="F828">
    <cfRule type="cellIs" dxfId="5" priority="333" operator="lessThan">
      <formula>-4100</formula>
    </cfRule>
  </conditionalFormatting>
  <conditionalFormatting sqref="F828">
    <cfRule type="cellIs" dxfId="4" priority="334" operator="greaterThanOrEqual">
      <formula>0</formula>
    </cfRule>
  </conditionalFormatting>
  <conditionalFormatting sqref="F828">
    <cfRule type="cellIs" dxfId="5" priority="335" operator="lessThan">
      <formula>-4100</formula>
    </cfRule>
  </conditionalFormatting>
  <conditionalFormatting sqref="F828">
    <cfRule type="cellIs" dxfId="4" priority="336" operator="greaterThanOrEqual">
      <formula>0</formula>
    </cfRule>
  </conditionalFormatting>
  <conditionalFormatting sqref="F828">
    <cfRule type="cellIs" dxfId="5" priority="337" operator="lessThan">
      <formula>-4100</formula>
    </cfRule>
  </conditionalFormatting>
  <conditionalFormatting sqref="F828">
    <cfRule type="cellIs" dxfId="4" priority="338" operator="greaterThanOrEqual">
      <formula>0</formula>
    </cfRule>
  </conditionalFormatting>
  <conditionalFormatting sqref="F828">
    <cfRule type="cellIs" dxfId="5" priority="339" operator="lessThan">
      <formula>-4100</formula>
    </cfRule>
  </conditionalFormatting>
  <conditionalFormatting sqref="F828">
    <cfRule type="cellIs" dxfId="4" priority="340" operator="greaterThanOrEqual">
      <formula>0</formula>
    </cfRule>
  </conditionalFormatting>
  <conditionalFormatting sqref="F828">
    <cfRule type="cellIs" dxfId="5" priority="341" operator="lessThan">
      <formula>-4100</formula>
    </cfRule>
  </conditionalFormatting>
  <conditionalFormatting sqref="E828">
    <cfRule type="cellIs" dxfId="6" priority="342" operator="greaterThan">
      <formula>0</formula>
    </cfRule>
  </conditionalFormatting>
  <conditionalFormatting sqref="F838">
    <cfRule type="cellIs" dxfId="4" priority="343" operator="greaterThanOrEqual">
      <formula>0</formula>
    </cfRule>
  </conditionalFormatting>
  <conditionalFormatting sqref="F838">
    <cfRule type="cellIs" dxfId="5" priority="344" operator="lessThan">
      <formula>-4100</formula>
    </cfRule>
  </conditionalFormatting>
  <conditionalFormatting sqref="F838">
    <cfRule type="cellIs" dxfId="4" priority="345" operator="greaterThanOrEqual">
      <formula>0</formula>
    </cfRule>
  </conditionalFormatting>
  <conditionalFormatting sqref="F838">
    <cfRule type="cellIs" dxfId="5" priority="346" operator="lessThan">
      <formula>-4100</formula>
    </cfRule>
  </conditionalFormatting>
  <conditionalFormatting sqref="F838">
    <cfRule type="cellIs" dxfId="4" priority="347" operator="greaterThanOrEqual">
      <formula>0</formula>
    </cfRule>
  </conditionalFormatting>
  <conditionalFormatting sqref="F838">
    <cfRule type="cellIs" dxfId="5" priority="348" operator="lessThan">
      <formula>-4100</formula>
    </cfRule>
  </conditionalFormatting>
  <conditionalFormatting sqref="F838">
    <cfRule type="cellIs" dxfId="4" priority="349" operator="greaterThanOrEqual">
      <formula>0</formula>
    </cfRule>
  </conditionalFormatting>
  <conditionalFormatting sqref="F838">
    <cfRule type="cellIs" dxfId="5" priority="350" operator="lessThan">
      <formula>-4100</formula>
    </cfRule>
  </conditionalFormatting>
  <conditionalFormatting sqref="F838">
    <cfRule type="cellIs" dxfId="4" priority="351" operator="greaterThanOrEqual">
      <formula>0</formula>
    </cfRule>
  </conditionalFormatting>
  <conditionalFormatting sqref="F838">
    <cfRule type="cellIs" dxfId="5" priority="352" operator="lessThan">
      <formula>-4100</formula>
    </cfRule>
  </conditionalFormatting>
  <conditionalFormatting sqref="F838">
    <cfRule type="cellIs" dxfId="4" priority="353" operator="greaterThanOrEqual">
      <formula>0</formula>
    </cfRule>
  </conditionalFormatting>
  <conditionalFormatting sqref="F838">
    <cfRule type="cellIs" dxfId="5" priority="354" operator="lessThan">
      <formula>-4100</formula>
    </cfRule>
  </conditionalFormatting>
  <conditionalFormatting sqref="F838">
    <cfRule type="cellIs" dxfId="4" priority="355" operator="greaterThanOrEqual">
      <formula>0</formula>
    </cfRule>
  </conditionalFormatting>
  <conditionalFormatting sqref="F838">
    <cfRule type="cellIs" dxfId="5" priority="356" operator="lessThan">
      <formula>-4100</formula>
    </cfRule>
  </conditionalFormatting>
  <conditionalFormatting sqref="F838">
    <cfRule type="cellIs" dxfId="4" priority="357" operator="greaterThanOrEqual">
      <formula>0</formula>
    </cfRule>
  </conditionalFormatting>
  <conditionalFormatting sqref="F838">
    <cfRule type="cellIs" dxfId="5" priority="358" operator="lessThan">
      <formula>-4100</formula>
    </cfRule>
  </conditionalFormatting>
  <conditionalFormatting sqref="E838">
    <cfRule type="cellIs" dxfId="6" priority="359" operator="greaterThan">
      <formula>0</formula>
    </cfRule>
  </conditionalFormatting>
  <conditionalFormatting sqref="F853">
    <cfRule type="cellIs" dxfId="4" priority="360" operator="greaterThanOrEqual">
      <formula>0</formula>
    </cfRule>
  </conditionalFormatting>
  <conditionalFormatting sqref="F853">
    <cfRule type="cellIs" dxfId="5" priority="361" operator="lessThan">
      <formula>-4100</formula>
    </cfRule>
  </conditionalFormatting>
  <conditionalFormatting sqref="F853">
    <cfRule type="cellIs" dxfId="4" priority="362" operator="greaterThanOrEqual">
      <formula>0</formula>
    </cfRule>
  </conditionalFormatting>
  <conditionalFormatting sqref="F853">
    <cfRule type="cellIs" dxfId="5" priority="363" operator="lessThan">
      <formula>-4100</formula>
    </cfRule>
  </conditionalFormatting>
  <conditionalFormatting sqref="F853">
    <cfRule type="cellIs" dxfId="4" priority="364" operator="greaterThanOrEqual">
      <formula>0</formula>
    </cfRule>
  </conditionalFormatting>
  <conditionalFormatting sqref="F853">
    <cfRule type="cellIs" dxfId="5" priority="365" operator="lessThan">
      <formula>-4100</formula>
    </cfRule>
  </conditionalFormatting>
  <conditionalFormatting sqref="E853">
    <cfRule type="cellIs" dxfId="6" priority="366" operator="greaterThan">
      <formula>0</formula>
    </cfRule>
  </conditionalFormatting>
  <conditionalFormatting sqref="F853">
    <cfRule type="cellIs" dxfId="4" priority="367" operator="greaterThanOrEqual">
      <formula>0</formula>
    </cfRule>
  </conditionalFormatting>
  <conditionalFormatting sqref="F853">
    <cfRule type="cellIs" dxfId="5" priority="368" operator="lessThan">
      <formula>-4100</formula>
    </cfRule>
  </conditionalFormatting>
  <conditionalFormatting sqref="F853">
    <cfRule type="cellIs" dxfId="4" priority="369" operator="greaterThanOrEqual">
      <formula>0</formula>
    </cfRule>
  </conditionalFormatting>
  <conditionalFormatting sqref="F853">
    <cfRule type="cellIs" dxfId="5" priority="370" operator="lessThan">
      <formula>-4100</formula>
    </cfRule>
  </conditionalFormatting>
  <conditionalFormatting sqref="F853">
    <cfRule type="cellIs" dxfId="4" priority="371" operator="greaterThanOrEqual">
      <formula>0</formula>
    </cfRule>
  </conditionalFormatting>
  <conditionalFormatting sqref="F853">
    <cfRule type="cellIs" dxfId="5" priority="372" operator="lessThan">
      <formula>-4100</formula>
    </cfRule>
  </conditionalFormatting>
  <conditionalFormatting sqref="F853">
    <cfRule type="cellIs" dxfId="4" priority="373" operator="greaterThanOrEqual">
      <formula>0</formula>
    </cfRule>
  </conditionalFormatting>
  <conditionalFormatting sqref="F853">
    <cfRule type="cellIs" dxfId="5" priority="374" operator="lessThan">
      <formula>-4100</formula>
    </cfRule>
  </conditionalFormatting>
  <conditionalFormatting sqref="F853">
    <cfRule type="cellIs" dxfId="4" priority="375" operator="greaterThanOrEqual">
      <formula>0</formula>
    </cfRule>
  </conditionalFormatting>
  <conditionalFormatting sqref="F853">
    <cfRule type="cellIs" dxfId="5" priority="376" operator="lessThan">
      <formula>-4100</formula>
    </cfRule>
  </conditionalFormatting>
  <conditionalFormatting sqref="F673">
    <cfRule type="cellIs" dxfId="5" priority="377" operator="lessThan">
      <formula>-4100</formula>
    </cfRule>
  </conditionalFormatting>
  <conditionalFormatting sqref="F673">
    <cfRule type="cellIs" dxfId="4" priority="378" operator="greaterThanOrEqual">
      <formula>0</formula>
    </cfRule>
  </conditionalFormatting>
  <conditionalFormatting sqref="F673">
    <cfRule type="cellIs" dxfId="4" priority="379" operator="greaterThanOrEqual">
      <formula>0</formula>
    </cfRule>
  </conditionalFormatting>
  <conditionalFormatting sqref="F673">
    <cfRule type="cellIs" dxfId="5" priority="380" operator="lessThan">
      <formula>-4100</formula>
    </cfRule>
  </conditionalFormatting>
  <conditionalFormatting sqref="F673">
    <cfRule type="cellIs" dxfId="4" priority="381" operator="greaterThanOrEqual">
      <formula>0</formula>
    </cfRule>
  </conditionalFormatting>
  <conditionalFormatting sqref="F673">
    <cfRule type="cellIs" dxfId="5" priority="382" operator="lessThan">
      <formula>-4100</formula>
    </cfRule>
  </conditionalFormatting>
  <conditionalFormatting sqref="F673">
    <cfRule type="cellIs" dxfId="4" priority="383" operator="greaterThanOrEqual">
      <formula>0</formula>
    </cfRule>
  </conditionalFormatting>
  <conditionalFormatting sqref="F673">
    <cfRule type="cellIs" dxfId="5" priority="384" operator="lessThan">
      <formula>-4100</formula>
    </cfRule>
  </conditionalFormatting>
  <conditionalFormatting sqref="F673">
    <cfRule type="cellIs" dxfId="4" priority="385" operator="greaterThanOrEqual">
      <formula>0</formula>
    </cfRule>
  </conditionalFormatting>
  <conditionalFormatting sqref="F673">
    <cfRule type="cellIs" dxfId="5" priority="386" operator="lessThan">
      <formula>-4100</formula>
    </cfRule>
  </conditionalFormatting>
  <conditionalFormatting sqref="E673">
    <cfRule type="cellIs" dxfId="6" priority="387" operator="greaterThan">
      <formula>0</formula>
    </cfRule>
  </conditionalFormatting>
  <conditionalFormatting sqref="F673">
    <cfRule type="cellIs" dxfId="4" priority="388" operator="greaterThanOrEqual">
      <formula>0</formula>
    </cfRule>
  </conditionalFormatting>
  <conditionalFormatting sqref="F673">
    <cfRule type="cellIs" dxfId="5" priority="389" operator="lessThan">
      <formula>-4100</formula>
    </cfRule>
  </conditionalFormatting>
  <conditionalFormatting sqref="F673">
    <cfRule type="cellIs" dxfId="4" priority="390" operator="greaterThanOrEqual">
      <formula>0</formula>
    </cfRule>
  </conditionalFormatting>
  <conditionalFormatting sqref="F673">
    <cfRule type="cellIs" dxfId="5" priority="391" operator="lessThan">
      <formula>-4100</formula>
    </cfRule>
  </conditionalFormatting>
  <conditionalFormatting sqref="F673">
    <cfRule type="cellIs" dxfId="4" priority="392" operator="greaterThanOrEqual">
      <formula>0</formula>
    </cfRule>
  </conditionalFormatting>
  <conditionalFormatting sqref="F673">
    <cfRule type="cellIs" dxfId="5" priority="393" operator="lessThan">
      <formula>-4100</formula>
    </cfRule>
  </conditionalFormatting>
  <conditionalFormatting sqref="F668">
    <cfRule type="cellIs" dxfId="5" priority="394" operator="lessThan">
      <formula>-4100</formula>
    </cfRule>
  </conditionalFormatting>
  <conditionalFormatting sqref="F668">
    <cfRule type="cellIs" dxfId="4" priority="395" operator="greaterThanOrEqual">
      <formula>0</formula>
    </cfRule>
  </conditionalFormatting>
  <conditionalFormatting sqref="F668">
    <cfRule type="cellIs" dxfId="4" priority="396" operator="greaterThanOrEqual">
      <formula>0</formula>
    </cfRule>
  </conditionalFormatting>
  <conditionalFormatting sqref="F668">
    <cfRule type="cellIs" dxfId="5" priority="397" operator="lessThan">
      <formula>-4100</formula>
    </cfRule>
  </conditionalFormatting>
  <conditionalFormatting sqref="F668">
    <cfRule type="cellIs" dxfId="4" priority="398" operator="greaterThanOrEqual">
      <formula>0</formula>
    </cfRule>
  </conditionalFormatting>
  <conditionalFormatting sqref="F668">
    <cfRule type="cellIs" dxfId="5" priority="399" operator="lessThan">
      <formula>-4100</formula>
    </cfRule>
  </conditionalFormatting>
  <conditionalFormatting sqref="F668">
    <cfRule type="cellIs" dxfId="4" priority="400" operator="greaterThanOrEqual">
      <formula>0</formula>
    </cfRule>
  </conditionalFormatting>
  <conditionalFormatting sqref="F668">
    <cfRule type="cellIs" dxfId="5" priority="401" operator="lessThan">
      <formula>-4100</formula>
    </cfRule>
  </conditionalFormatting>
  <conditionalFormatting sqref="F668">
    <cfRule type="cellIs" dxfId="4" priority="402" operator="greaterThanOrEqual">
      <formula>0</formula>
    </cfRule>
  </conditionalFormatting>
  <conditionalFormatting sqref="F668">
    <cfRule type="cellIs" dxfId="5" priority="403" operator="lessThan">
      <formula>-4100</formula>
    </cfRule>
  </conditionalFormatting>
  <conditionalFormatting sqref="E668">
    <cfRule type="cellIs" dxfId="6" priority="404" operator="greaterThan">
      <formula>0</formula>
    </cfRule>
  </conditionalFormatting>
  <conditionalFormatting sqref="F668">
    <cfRule type="cellIs" dxfId="4" priority="405" operator="greaterThanOrEqual">
      <formula>0</formula>
    </cfRule>
  </conditionalFormatting>
  <conditionalFormatting sqref="F668">
    <cfRule type="cellIs" dxfId="5" priority="406" operator="lessThan">
      <formula>-4100</formula>
    </cfRule>
  </conditionalFormatting>
  <conditionalFormatting sqref="F668">
    <cfRule type="cellIs" dxfId="4" priority="407" operator="greaterThanOrEqual">
      <formula>0</formula>
    </cfRule>
  </conditionalFormatting>
  <conditionalFormatting sqref="F668">
    <cfRule type="cellIs" dxfId="5" priority="408" operator="lessThan">
      <formula>-4100</formula>
    </cfRule>
  </conditionalFormatting>
  <conditionalFormatting sqref="F668">
    <cfRule type="cellIs" dxfId="4" priority="409" operator="greaterThanOrEqual">
      <formula>0</formula>
    </cfRule>
  </conditionalFormatting>
  <conditionalFormatting sqref="F668">
    <cfRule type="cellIs" dxfId="5" priority="410" operator="lessThan">
      <formula>-4100</formula>
    </cfRule>
  </conditionalFormatting>
  <conditionalFormatting sqref="F663">
    <cfRule type="cellIs" dxfId="5" priority="411" operator="lessThan">
      <formula>-4100</formula>
    </cfRule>
  </conditionalFormatting>
  <conditionalFormatting sqref="F663">
    <cfRule type="cellIs" dxfId="4" priority="412" operator="greaterThanOrEqual">
      <formula>0</formula>
    </cfRule>
  </conditionalFormatting>
  <conditionalFormatting sqref="F663">
    <cfRule type="cellIs" dxfId="4" priority="413" operator="greaterThanOrEqual">
      <formula>0</formula>
    </cfRule>
  </conditionalFormatting>
  <conditionalFormatting sqref="F663">
    <cfRule type="cellIs" dxfId="5" priority="414" operator="lessThan">
      <formula>-4100</formula>
    </cfRule>
  </conditionalFormatting>
  <conditionalFormatting sqref="F663">
    <cfRule type="cellIs" dxfId="4" priority="415" operator="greaterThanOrEqual">
      <formula>0</formula>
    </cfRule>
  </conditionalFormatting>
  <conditionalFormatting sqref="F663">
    <cfRule type="cellIs" dxfId="5" priority="416" operator="lessThan">
      <formula>-4100</formula>
    </cfRule>
  </conditionalFormatting>
  <conditionalFormatting sqref="F663">
    <cfRule type="cellIs" dxfId="4" priority="417" operator="greaterThanOrEqual">
      <formula>0</formula>
    </cfRule>
  </conditionalFormatting>
  <conditionalFormatting sqref="F663">
    <cfRule type="cellIs" dxfId="5" priority="418" operator="lessThan">
      <formula>-4100</formula>
    </cfRule>
  </conditionalFormatting>
  <conditionalFormatting sqref="F663">
    <cfRule type="cellIs" dxfId="4" priority="419" operator="greaterThanOrEqual">
      <formula>0</formula>
    </cfRule>
  </conditionalFormatting>
  <conditionalFormatting sqref="F663">
    <cfRule type="cellIs" dxfId="5" priority="420" operator="lessThan">
      <formula>-4100</formula>
    </cfRule>
  </conditionalFormatting>
  <conditionalFormatting sqref="E663">
    <cfRule type="cellIs" dxfId="6" priority="421" operator="greaterThan">
      <formula>0</formula>
    </cfRule>
  </conditionalFormatting>
  <conditionalFormatting sqref="F663">
    <cfRule type="cellIs" dxfId="4" priority="422" operator="greaterThanOrEqual">
      <formula>0</formula>
    </cfRule>
  </conditionalFormatting>
  <conditionalFormatting sqref="F663">
    <cfRule type="cellIs" dxfId="5" priority="423" operator="lessThan">
      <formula>-4100</formula>
    </cfRule>
  </conditionalFormatting>
  <conditionalFormatting sqref="F663">
    <cfRule type="cellIs" dxfId="4" priority="424" operator="greaterThanOrEqual">
      <formula>0</formula>
    </cfRule>
  </conditionalFormatting>
  <conditionalFormatting sqref="F663">
    <cfRule type="cellIs" dxfId="5" priority="425" operator="lessThan">
      <formula>-4100</formula>
    </cfRule>
  </conditionalFormatting>
  <conditionalFormatting sqref="F663">
    <cfRule type="cellIs" dxfId="4" priority="426" operator="greaterThanOrEqual">
      <formula>0</formula>
    </cfRule>
  </conditionalFormatting>
  <conditionalFormatting sqref="F663">
    <cfRule type="cellIs" dxfId="5" priority="427" operator="lessThan">
      <formula>-4100</formula>
    </cfRule>
  </conditionalFormatting>
  <conditionalFormatting sqref="F648">
    <cfRule type="cellIs" dxfId="5" priority="428" operator="lessThan">
      <formula>-4100</formula>
    </cfRule>
  </conditionalFormatting>
  <conditionalFormatting sqref="F648">
    <cfRule type="cellIs" dxfId="4" priority="429" operator="greaterThanOrEqual">
      <formula>0</formula>
    </cfRule>
  </conditionalFormatting>
  <conditionalFormatting sqref="F648">
    <cfRule type="cellIs" dxfId="4" priority="430" operator="greaterThanOrEqual">
      <formula>0</formula>
    </cfRule>
  </conditionalFormatting>
  <conditionalFormatting sqref="F648">
    <cfRule type="cellIs" dxfId="5" priority="431" operator="lessThan">
      <formula>-4100</formula>
    </cfRule>
  </conditionalFormatting>
  <conditionalFormatting sqref="F648">
    <cfRule type="cellIs" dxfId="4" priority="432" operator="greaterThanOrEqual">
      <formula>0</formula>
    </cfRule>
  </conditionalFormatting>
  <conditionalFormatting sqref="F648">
    <cfRule type="cellIs" dxfId="5" priority="433" operator="lessThan">
      <formula>-4100</formula>
    </cfRule>
  </conditionalFormatting>
  <conditionalFormatting sqref="F648">
    <cfRule type="cellIs" dxfId="4" priority="434" operator="greaterThanOrEqual">
      <formula>0</formula>
    </cfRule>
  </conditionalFormatting>
  <conditionalFormatting sqref="F648">
    <cfRule type="cellIs" dxfId="5" priority="435" operator="lessThan">
      <formula>-4100</formula>
    </cfRule>
  </conditionalFormatting>
  <conditionalFormatting sqref="F648">
    <cfRule type="cellIs" dxfId="4" priority="436" operator="greaterThanOrEqual">
      <formula>0</formula>
    </cfRule>
  </conditionalFormatting>
  <conditionalFormatting sqref="F648">
    <cfRule type="cellIs" dxfId="5" priority="437" operator="lessThan">
      <formula>-4100</formula>
    </cfRule>
  </conditionalFormatting>
  <conditionalFormatting sqref="E648">
    <cfRule type="cellIs" dxfId="6" priority="438" operator="greaterThan">
      <formula>0</formula>
    </cfRule>
  </conditionalFormatting>
  <conditionalFormatting sqref="F648">
    <cfRule type="cellIs" dxfId="4" priority="439" operator="greaterThanOrEqual">
      <formula>0</formula>
    </cfRule>
  </conditionalFormatting>
  <conditionalFormatting sqref="F648">
    <cfRule type="cellIs" dxfId="5" priority="440" operator="lessThan">
      <formula>-4100</formula>
    </cfRule>
  </conditionalFormatting>
  <conditionalFormatting sqref="F648">
    <cfRule type="cellIs" dxfId="4" priority="441" operator="greaterThanOrEqual">
      <formula>0</formula>
    </cfRule>
  </conditionalFormatting>
  <conditionalFormatting sqref="F648">
    <cfRule type="cellIs" dxfId="5" priority="442" operator="lessThan">
      <formula>-4100</formula>
    </cfRule>
  </conditionalFormatting>
  <conditionalFormatting sqref="F648">
    <cfRule type="cellIs" dxfId="4" priority="443" operator="greaterThanOrEqual">
      <formula>0</formula>
    </cfRule>
  </conditionalFormatting>
  <conditionalFormatting sqref="F648">
    <cfRule type="cellIs" dxfId="5" priority="444" operator="lessThan">
      <formula>-4100</formula>
    </cfRule>
  </conditionalFormatting>
  <conditionalFormatting sqref="E884">
    <cfRule type="cellIs" dxfId="6" priority="445" operator="greaterThan">
      <formula>0</formula>
    </cfRule>
  </conditionalFormatting>
  <conditionalFormatting sqref="H558">
    <cfRule type="expression" dxfId="0" priority="446">
      <formula>H558&lt;($D$371-6%)</formula>
    </cfRule>
  </conditionalFormatting>
  <conditionalFormatting sqref="H558">
    <cfRule type="expression" dxfId="1" priority="447">
      <formula>H558&gt;($D$371+6%)</formula>
    </cfRule>
  </conditionalFormatting>
  <conditionalFormatting sqref="H558">
    <cfRule type="expression" dxfId="2" priority="448">
      <formula>H558&lt;($D$371-3%)</formula>
    </cfRule>
  </conditionalFormatting>
  <conditionalFormatting sqref="H558">
    <cfRule type="expression" dxfId="3" priority="449">
      <formula>H558&gt;($D$371+3%)</formula>
    </cfRule>
  </conditionalFormatting>
  <conditionalFormatting sqref="H559">
    <cfRule type="expression" dxfId="0" priority="450">
      <formula>H559&lt;($D$371-6%)</formula>
    </cfRule>
  </conditionalFormatting>
  <conditionalFormatting sqref="H559">
    <cfRule type="expression" dxfId="1" priority="451">
      <formula>H559&gt;($D$371+6%)</formula>
    </cfRule>
  </conditionalFormatting>
  <conditionalFormatting sqref="H559">
    <cfRule type="expression" dxfId="2" priority="452">
      <formula>H559&lt;($D$371-3%)</formula>
    </cfRule>
  </conditionalFormatting>
  <conditionalFormatting sqref="H559">
    <cfRule type="expression" dxfId="3" priority="453">
      <formula>H559&gt;($D$371+3%)</formula>
    </cfRule>
  </conditionalFormatting>
  <conditionalFormatting sqref="F562">
    <cfRule type="cellIs" dxfId="5" priority="454" operator="lessThan">
      <formula>-4100</formula>
    </cfRule>
  </conditionalFormatting>
  <conditionalFormatting sqref="F562">
    <cfRule type="cellIs" dxfId="4" priority="455" operator="greaterThanOrEqual">
      <formula>0</formula>
    </cfRule>
  </conditionalFormatting>
  <conditionalFormatting sqref="F562">
    <cfRule type="cellIs" dxfId="4" priority="456" operator="greaterThanOrEqual">
      <formula>0</formula>
    </cfRule>
  </conditionalFormatting>
  <conditionalFormatting sqref="F562">
    <cfRule type="cellIs" dxfId="5" priority="457" operator="lessThan">
      <formula>-4100</formula>
    </cfRule>
  </conditionalFormatting>
  <conditionalFormatting sqref="F562">
    <cfRule type="cellIs" dxfId="4" priority="458" operator="greaterThanOrEqual">
      <formula>0</formula>
    </cfRule>
  </conditionalFormatting>
  <conditionalFormatting sqref="F562">
    <cfRule type="cellIs" dxfId="5" priority="459" operator="lessThan">
      <formula>-4100</formula>
    </cfRule>
  </conditionalFormatting>
  <conditionalFormatting sqref="F562">
    <cfRule type="cellIs" dxfId="4" priority="460" operator="greaterThanOrEqual">
      <formula>0</formula>
    </cfRule>
  </conditionalFormatting>
  <conditionalFormatting sqref="F562">
    <cfRule type="cellIs" dxfId="5" priority="461" operator="lessThan">
      <formula>-4100</formula>
    </cfRule>
  </conditionalFormatting>
  <conditionalFormatting sqref="F562">
    <cfRule type="cellIs" dxfId="4" priority="462" operator="greaterThanOrEqual">
      <formula>0</formula>
    </cfRule>
  </conditionalFormatting>
  <conditionalFormatting sqref="F562">
    <cfRule type="cellIs" dxfId="5" priority="463" operator="lessThan">
      <formula>-4100</formula>
    </cfRule>
  </conditionalFormatting>
  <conditionalFormatting sqref="F562">
    <cfRule type="cellIs" dxfId="5" priority="464" operator="lessThan">
      <formula>-4100</formula>
    </cfRule>
  </conditionalFormatting>
  <conditionalFormatting sqref="F562">
    <cfRule type="cellIs" dxfId="4" priority="465" operator="greaterThanOrEqual">
      <formula>0</formula>
    </cfRule>
  </conditionalFormatting>
  <conditionalFormatting sqref="F562">
    <cfRule type="cellIs" dxfId="4" priority="466" operator="greaterThanOrEqual">
      <formula>0</formula>
    </cfRule>
  </conditionalFormatting>
  <conditionalFormatting sqref="F562">
    <cfRule type="cellIs" dxfId="5" priority="467" operator="lessThan">
      <formula>-4100</formula>
    </cfRule>
  </conditionalFormatting>
  <conditionalFormatting sqref="F562">
    <cfRule type="cellIs" dxfId="4" priority="468" operator="greaterThanOrEqual">
      <formula>0</formula>
    </cfRule>
  </conditionalFormatting>
  <conditionalFormatting sqref="F562">
    <cfRule type="cellIs" dxfId="5" priority="469" operator="lessThan">
      <formula>-4100</formula>
    </cfRule>
  </conditionalFormatting>
  <conditionalFormatting sqref="E562">
    <cfRule type="cellIs" dxfId="6" priority="470" operator="greaterThan">
      <formula>0</formula>
    </cfRule>
  </conditionalFormatting>
  <conditionalFormatting sqref="F858">
    <cfRule type="cellIs" dxfId="4" priority="471" operator="greaterThanOrEqual">
      <formula>0</formula>
    </cfRule>
  </conditionalFormatting>
  <conditionalFormatting sqref="F858">
    <cfRule type="cellIs" dxfId="5" priority="472" operator="lessThan">
      <formula>-4100</formula>
    </cfRule>
  </conditionalFormatting>
  <conditionalFormatting sqref="F858">
    <cfRule type="cellIs" dxfId="4" priority="473" operator="greaterThanOrEqual">
      <formula>0</formula>
    </cfRule>
  </conditionalFormatting>
  <conditionalFormatting sqref="F858">
    <cfRule type="cellIs" dxfId="5" priority="474" operator="lessThan">
      <formula>-4100</formula>
    </cfRule>
  </conditionalFormatting>
  <conditionalFormatting sqref="F858">
    <cfRule type="cellIs" dxfId="4" priority="475" operator="greaterThanOrEqual">
      <formula>0</formula>
    </cfRule>
  </conditionalFormatting>
  <conditionalFormatting sqref="F858">
    <cfRule type="cellIs" dxfId="5" priority="476" operator="lessThan">
      <formula>-4100</formula>
    </cfRule>
  </conditionalFormatting>
  <conditionalFormatting sqref="F858">
    <cfRule type="cellIs" dxfId="4" priority="477" operator="greaterThanOrEqual">
      <formula>0</formula>
    </cfRule>
  </conditionalFormatting>
  <conditionalFormatting sqref="F858">
    <cfRule type="cellIs" dxfId="5" priority="478" operator="lessThan">
      <formula>-4100</formula>
    </cfRule>
  </conditionalFormatting>
  <conditionalFormatting sqref="F858">
    <cfRule type="cellIs" dxfId="4" priority="479" operator="greaterThanOrEqual">
      <formula>0</formula>
    </cfRule>
  </conditionalFormatting>
  <conditionalFormatting sqref="F858">
    <cfRule type="cellIs" dxfId="5" priority="480" operator="lessThan">
      <formula>-4100</formula>
    </cfRule>
  </conditionalFormatting>
  <conditionalFormatting sqref="F858">
    <cfRule type="cellIs" dxfId="4" priority="481" operator="greaterThanOrEqual">
      <formula>0</formula>
    </cfRule>
  </conditionalFormatting>
  <conditionalFormatting sqref="F858">
    <cfRule type="cellIs" dxfId="5" priority="482" operator="lessThan">
      <formula>-4100</formula>
    </cfRule>
  </conditionalFormatting>
  <conditionalFormatting sqref="F858">
    <cfRule type="cellIs" dxfId="4" priority="483" operator="greaterThanOrEqual">
      <formula>0</formula>
    </cfRule>
  </conditionalFormatting>
  <conditionalFormatting sqref="F858">
    <cfRule type="cellIs" dxfId="5" priority="484" operator="lessThan">
      <formula>-4100</formula>
    </cfRule>
  </conditionalFormatting>
  <conditionalFormatting sqref="F858">
    <cfRule type="cellIs" dxfId="4" priority="485" operator="greaterThanOrEqual">
      <formula>0</formula>
    </cfRule>
  </conditionalFormatting>
  <conditionalFormatting sqref="F858">
    <cfRule type="cellIs" dxfId="5" priority="486" operator="lessThan">
      <formula>-4100</formula>
    </cfRule>
  </conditionalFormatting>
  <conditionalFormatting sqref="E858">
    <cfRule type="cellIs" dxfId="6" priority="487" operator="greaterThan">
      <formula>0</formula>
    </cfRule>
  </conditionalFormatting>
  <conditionalFormatting sqref="F863">
    <cfRule type="cellIs" dxfId="4" priority="488" operator="greaterThanOrEqual">
      <formula>0</formula>
    </cfRule>
  </conditionalFormatting>
  <conditionalFormatting sqref="F863">
    <cfRule type="cellIs" dxfId="5" priority="489" operator="lessThan">
      <formula>-4100</formula>
    </cfRule>
  </conditionalFormatting>
  <conditionalFormatting sqref="F863">
    <cfRule type="cellIs" dxfId="4" priority="490" operator="greaterThanOrEqual">
      <formula>0</formula>
    </cfRule>
  </conditionalFormatting>
  <conditionalFormatting sqref="F863">
    <cfRule type="cellIs" dxfId="5" priority="491" operator="lessThan">
      <formula>-4100</formula>
    </cfRule>
  </conditionalFormatting>
  <conditionalFormatting sqref="F863">
    <cfRule type="cellIs" dxfId="4" priority="492" operator="greaterThanOrEqual">
      <formula>0</formula>
    </cfRule>
  </conditionalFormatting>
  <conditionalFormatting sqref="F863">
    <cfRule type="cellIs" dxfId="5" priority="493" operator="lessThan">
      <formula>-4100</formula>
    </cfRule>
  </conditionalFormatting>
  <conditionalFormatting sqref="F863">
    <cfRule type="cellIs" dxfId="4" priority="494" operator="greaterThanOrEqual">
      <formula>0</formula>
    </cfRule>
  </conditionalFormatting>
  <conditionalFormatting sqref="F863">
    <cfRule type="cellIs" dxfId="5" priority="495" operator="lessThan">
      <formula>-4100</formula>
    </cfRule>
  </conditionalFormatting>
  <conditionalFormatting sqref="F863">
    <cfRule type="cellIs" dxfId="4" priority="496" operator="greaterThanOrEqual">
      <formula>0</formula>
    </cfRule>
  </conditionalFormatting>
  <conditionalFormatting sqref="F863">
    <cfRule type="cellIs" dxfId="5" priority="497" operator="lessThan">
      <formula>-4100</formula>
    </cfRule>
  </conditionalFormatting>
  <conditionalFormatting sqref="F863">
    <cfRule type="cellIs" dxfId="4" priority="498" operator="greaterThanOrEqual">
      <formula>0</formula>
    </cfRule>
  </conditionalFormatting>
  <conditionalFormatting sqref="F863">
    <cfRule type="cellIs" dxfId="5" priority="499" operator="lessThan">
      <formula>-4100</formula>
    </cfRule>
  </conditionalFormatting>
  <conditionalFormatting sqref="F863">
    <cfRule type="cellIs" dxfId="4" priority="500" operator="greaterThanOrEqual">
      <formula>0</formula>
    </cfRule>
  </conditionalFormatting>
  <conditionalFormatting sqref="F863">
    <cfRule type="cellIs" dxfId="5" priority="501" operator="lessThan">
      <formula>-4100</formula>
    </cfRule>
  </conditionalFormatting>
  <conditionalFormatting sqref="F863">
    <cfRule type="cellIs" dxfId="4" priority="502" operator="greaterThanOrEqual">
      <formula>0</formula>
    </cfRule>
  </conditionalFormatting>
  <conditionalFormatting sqref="F863">
    <cfRule type="cellIs" dxfId="5" priority="503" operator="lessThan">
      <formula>-4100</formula>
    </cfRule>
  </conditionalFormatting>
  <conditionalFormatting sqref="E863">
    <cfRule type="cellIs" dxfId="6" priority="504" operator="greaterThan">
      <formula>0</formula>
    </cfRule>
  </conditionalFormatting>
  <conditionalFormatting sqref="F868">
    <cfRule type="cellIs" dxfId="4" priority="505" operator="greaterThanOrEqual">
      <formula>0</formula>
    </cfRule>
  </conditionalFormatting>
  <conditionalFormatting sqref="F868">
    <cfRule type="cellIs" dxfId="5" priority="506" operator="lessThan">
      <formula>-4100</formula>
    </cfRule>
  </conditionalFormatting>
  <conditionalFormatting sqref="F868">
    <cfRule type="cellIs" dxfId="4" priority="507" operator="greaterThanOrEqual">
      <formula>0</formula>
    </cfRule>
  </conditionalFormatting>
  <conditionalFormatting sqref="F868">
    <cfRule type="cellIs" dxfId="5" priority="508" operator="lessThan">
      <formula>-4100</formula>
    </cfRule>
  </conditionalFormatting>
  <conditionalFormatting sqref="F868">
    <cfRule type="cellIs" dxfId="4" priority="509" operator="greaterThanOrEqual">
      <formula>0</formula>
    </cfRule>
  </conditionalFormatting>
  <conditionalFormatting sqref="F868">
    <cfRule type="cellIs" dxfId="5" priority="510" operator="lessThan">
      <formula>-4100</formula>
    </cfRule>
  </conditionalFormatting>
  <conditionalFormatting sqref="F868">
    <cfRule type="cellIs" dxfId="4" priority="511" operator="greaterThanOrEqual">
      <formula>0</formula>
    </cfRule>
  </conditionalFormatting>
  <conditionalFormatting sqref="F868">
    <cfRule type="cellIs" dxfId="5" priority="512" operator="lessThan">
      <formula>-4100</formula>
    </cfRule>
  </conditionalFormatting>
  <conditionalFormatting sqref="F868">
    <cfRule type="cellIs" dxfId="4" priority="513" operator="greaterThanOrEqual">
      <formula>0</formula>
    </cfRule>
  </conditionalFormatting>
  <conditionalFormatting sqref="F868">
    <cfRule type="cellIs" dxfId="5" priority="514" operator="lessThan">
      <formula>-4100</formula>
    </cfRule>
  </conditionalFormatting>
  <conditionalFormatting sqref="F868">
    <cfRule type="cellIs" dxfId="4" priority="515" operator="greaterThanOrEqual">
      <formula>0</formula>
    </cfRule>
  </conditionalFormatting>
  <conditionalFormatting sqref="F868">
    <cfRule type="cellIs" dxfId="5" priority="516" operator="lessThan">
      <formula>-4100</formula>
    </cfRule>
  </conditionalFormatting>
  <conditionalFormatting sqref="F868">
    <cfRule type="cellIs" dxfId="4" priority="517" operator="greaterThanOrEqual">
      <formula>0</formula>
    </cfRule>
  </conditionalFormatting>
  <conditionalFormatting sqref="F868">
    <cfRule type="cellIs" dxfId="5" priority="518" operator="lessThan">
      <formula>-4100</formula>
    </cfRule>
  </conditionalFormatting>
  <conditionalFormatting sqref="F868">
    <cfRule type="cellIs" dxfId="4" priority="519" operator="greaterThanOrEqual">
      <formula>0</formula>
    </cfRule>
  </conditionalFormatting>
  <conditionalFormatting sqref="F868">
    <cfRule type="cellIs" dxfId="5" priority="520" operator="lessThan">
      <formula>-4100</formula>
    </cfRule>
  </conditionalFormatting>
  <conditionalFormatting sqref="E868">
    <cfRule type="cellIs" dxfId="6" priority="521" operator="greaterThan">
      <formula>0</formula>
    </cfRule>
  </conditionalFormatting>
  <conditionalFormatting sqref="F873">
    <cfRule type="cellIs" dxfId="4" priority="522" operator="greaterThanOrEqual">
      <formula>0</formula>
    </cfRule>
  </conditionalFormatting>
  <conditionalFormatting sqref="F873">
    <cfRule type="cellIs" dxfId="5" priority="523" operator="lessThan">
      <formula>-4100</formula>
    </cfRule>
  </conditionalFormatting>
  <conditionalFormatting sqref="F873">
    <cfRule type="cellIs" dxfId="4" priority="524" operator="greaterThanOrEqual">
      <formula>0</formula>
    </cfRule>
  </conditionalFormatting>
  <conditionalFormatting sqref="F873">
    <cfRule type="cellIs" dxfId="5" priority="525" operator="lessThan">
      <formula>-4100</formula>
    </cfRule>
  </conditionalFormatting>
  <conditionalFormatting sqref="F873">
    <cfRule type="cellIs" dxfId="4" priority="526" operator="greaterThanOrEqual">
      <formula>0</formula>
    </cfRule>
  </conditionalFormatting>
  <conditionalFormatting sqref="F873">
    <cfRule type="cellIs" dxfId="5" priority="527" operator="lessThan">
      <formula>-4100</formula>
    </cfRule>
  </conditionalFormatting>
  <conditionalFormatting sqref="F873">
    <cfRule type="cellIs" dxfId="4" priority="528" operator="greaterThanOrEqual">
      <formula>0</formula>
    </cfRule>
  </conditionalFormatting>
  <conditionalFormatting sqref="F873">
    <cfRule type="cellIs" dxfId="5" priority="529" operator="lessThan">
      <formula>-4100</formula>
    </cfRule>
  </conditionalFormatting>
  <conditionalFormatting sqref="F873">
    <cfRule type="cellIs" dxfId="4" priority="530" operator="greaterThanOrEqual">
      <formula>0</formula>
    </cfRule>
  </conditionalFormatting>
  <conditionalFormatting sqref="F873">
    <cfRule type="cellIs" dxfId="5" priority="531" operator="lessThan">
      <formula>-4100</formula>
    </cfRule>
  </conditionalFormatting>
  <conditionalFormatting sqref="F873">
    <cfRule type="cellIs" dxfId="4" priority="532" operator="greaterThanOrEqual">
      <formula>0</formula>
    </cfRule>
  </conditionalFormatting>
  <conditionalFormatting sqref="F873">
    <cfRule type="cellIs" dxfId="5" priority="533" operator="lessThan">
      <formula>-4100</formula>
    </cfRule>
  </conditionalFormatting>
  <conditionalFormatting sqref="F873">
    <cfRule type="cellIs" dxfId="4" priority="534" operator="greaterThanOrEqual">
      <formula>0</formula>
    </cfRule>
  </conditionalFormatting>
  <conditionalFormatting sqref="F873">
    <cfRule type="cellIs" dxfId="5" priority="535" operator="lessThan">
      <formula>-4100</formula>
    </cfRule>
  </conditionalFormatting>
  <conditionalFormatting sqref="F873">
    <cfRule type="cellIs" dxfId="4" priority="536" operator="greaterThanOrEqual">
      <formula>0</formula>
    </cfRule>
  </conditionalFormatting>
  <conditionalFormatting sqref="F873">
    <cfRule type="cellIs" dxfId="5" priority="537" operator="lessThan">
      <formula>-4100</formula>
    </cfRule>
  </conditionalFormatting>
  <conditionalFormatting sqref="E873">
    <cfRule type="cellIs" dxfId="6" priority="538" operator="greaterThan">
      <formula>0</formula>
    </cfRule>
  </conditionalFormatting>
  <conditionalFormatting sqref="F878">
    <cfRule type="cellIs" dxfId="4" priority="539" operator="greaterThanOrEqual">
      <formula>0</formula>
    </cfRule>
  </conditionalFormatting>
  <conditionalFormatting sqref="F878">
    <cfRule type="cellIs" dxfId="5" priority="540" operator="lessThan">
      <formula>-4100</formula>
    </cfRule>
  </conditionalFormatting>
  <conditionalFormatting sqref="F878">
    <cfRule type="cellIs" dxfId="4" priority="541" operator="greaterThanOrEqual">
      <formula>0</formula>
    </cfRule>
  </conditionalFormatting>
  <conditionalFormatting sqref="F878">
    <cfRule type="cellIs" dxfId="5" priority="542" operator="lessThan">
      <formula>-4100</formula>
    </cfRule>
  </conditionalFormatting>
  <conditionalFormatting sqref="F878">
    <cfRule type="cellIs" dxfId="4" priority="543" operator="greaterThanOrEqual">
      <formula>0</formula>
    </cfRule>
  </conditionalFormatting>
  <conditionalFormatting sqref="F878">
    <cfRule type="cellIs" dxfId="5" priority="544" operator="lessThan">
      <formula>-4100</formula>
    </cfRule>
  </conditionalFormatting>
  <conditionalFormatting sqref="F878">
    <cfRule type="cellIs" dxfId="4" priority="545" operator="greaterThanOrEqual">
      <formula>0</formula>
    </cfRule>
  </conditionalFormatting>
  <conditionalFormatting sqref="F878">
    <cfRule type="cellIs" dxfId="5" priority="546" operator="lessThan">
      <formula>-4100</formula>
    </cfRule>
  </conditionalFormatting>
  <conditionalFormatting sqref="F878">
    <cfRule type="cellIs" dxfId="4" priority="547" operator="greaterThanOrEqual">
      <formula>0</formula>
    </cfRule>
  </conditionalFormatting>
  <conditionalFormatting sqref="F878">
    <cfRule type="cellIs" dxfId="5" priority="548" operator="lessThan">
      <formula>-4100</formula>
    </cfRule>
  </conditionalFormatting>
  <conditionalFormatting sqref="F878">
    <cfRule type="cellIs" dxfId="4" priority="549" operator="greaterThanOrEqual">
      <formula>0</formula>
    </cfRule>
  </conditionalFormatting>
  <conditionalFormatting sqref="F878">
    <cfRule type="cellIs" dxfId="5" priority="550" operator="lessThan">
      <formula>-4100</formula>
    </cfRule>
  </conditionalFormatting>
  <conditionalFormatting sqref="F878">
    <cfRule type="cellIs" dxfId="4" priority="551" operator="greaterThanOrEqual">
      <formula>0</formula>
    </cfRule>
  </conditionalFormatting>
  <conditionalFormatting sqref="F878">
    <cfRule type="cellIs" dxfId="5" priority="552" operator="lessThan">
      <formula>-4100</formula>
    </cfRule>
  </conditionalFormatting>
  <conditionalFormatting sqref="F878">
    <cfRule type="cellIs" dxfId="4" priority="553" operator="greaterThanOrEqual">
      <formula>0</formula>
    </cfRule>
  </conditionalFormatting>
  <conditionalFormatting sqref="F878">
    <cfRule type="cellIs" dxfId="5" priority="554" operator="lessThan">
      <formula>-4100</formula>
    </cfRule>
  </conditionalFormatting>
  <conditionalFormatting sqref="E878">
    <cfRule type="cellIs" dxfId="6" priority="555" operator="greaterThan">
      <formula>0</formula>
    </cfRule>
  </conditionalFormatting>
  <conditionalFormatting sqref="F783">
    <cfRule type="cellIs" dxfId="4" priority="556" operator="greaterThanOrEqual">
      <formula>0</formula>
    </cfRule>
  </conditionalFormatting>
  <conditionalFormatting sqref="F783">
    <cfRule type="cellIs" dxfId="5" priority="557" operator="lessThan">
      <formula>-4100</formula>
    </cfRule>
  </conditionalFormatting>
  <conditionalFormatting sqref="F783">
    <cfRule type="cellIs" dxfId="4" priority="558" operator="greaterThanOrEqual">
      <formula>0</formula>
    </cfRule>
  </conditionalFormatting>
  <conditionalFormatting sqref="F783">
    <cfRule type="cellIs" dxfId="5" priority="559" operator="lessThan">
      <formula>-4100</formula>
    </cfRule>
  </conditionalFormatting>
  <conditionalFormatting sqref="F783">
    <cfRule type="cellIs" dxfId="4" priority="560" operator="greaterThanOrEqual">
      <formula>0</formula>
    </cfRule>
  </conditionalFormatting>
  <conditionalFormatting sqref="F783">
    <cfRule type="cellIs" dxfId="5" priority="561" operator="lessThan">
      <formula>-4100</formula>
    </cfRule>
  </conditionalFormatting>
  <conditionalFormatting sqref="F783">
    <cfRule type="cellIs" dxfId="4" priority="562" operator="greaterThanOrEqual">
      <formula>0</formula>
    </cfRule>
  </conditionalFormatting>
  <conditionalFormatting sqref="F783">
    <cfRule type="cellIs" dxfId="5" priority="563" operator="lessThan">
      <formula>-4100</formula>
    </cfRule>
  </conditionalFormatting>
  <conditionalFormatting sqref="F783">
    <cfRule type="cellIs" dxfId="4" priority="564" operator="greaterThanOrEqual">
      <formula>0</formula>
    </cfRule>
  </conditionalFormatting>
  <conditionalFormatting sqref="F783">
    <cfRule type="cellIs" dxfId="5" priority="565" operator="lessThan">
      <formula>-4100</formula>
    </cfRule>
  </conditionalFormatting>
  <conditionalFormatting sqref="F783">
    <cfRule type="cellIs" dxfId="4" priority="566" operator="greaterThanOrEqual">
      <formula>0</formula>
    </cfRule>
  </conditionalFormatting>
  <conditionalFormatting sqref="F783">
    <cfRule type="cellIs" dxfId="5" priority="567" operator="lessThan">
      <formula>-4100</formula>
    </cfRule>
  </conditionalFormatting>
  <conditionalFormatting sqref="F783">
    <cfRule type="cellIs" dxfId="4" priority="568" operator="greaterThanOrEqual">
      <formula>0</formula>
    </cfRule>
  </conditionalFormatting>
  <conditionalFormatting sqref="F783">
    <cfRule type="cellIs" dxfId="5" priority="569" operator="lessThan">
      <formula>-4100</formula>
    </cfRule>
  </conditionalFormatting>
  <conditionalFormatting sqref="F783">
    <cfRule type="cellIs" dxfId="4" priority="570" operator="greaterThanOrEqual">
      <formula>0</formula>
    </cfRule>
  </conditionalFormatting>
  <conditionalFormatting sqref="F783">
    <cfRule type="cellIs" dxfId="5" priority="571" operator="lessThan">
      <formula>-4100</formula>
    </cfRule>
  </conditionalFormatting>
  <conditionalFormatting sqref="E783">
    <cfRule type="cellIs" dxfId="6" priority="572" operator="greaterThan">
      <formula>0</formula>
    </cfRule>
  </conditionalFormatting>
  <conditionalFormatting sqref="H438">
    <cfRule type="expression" dxfId="0" priority="573">
      <formula>H438&lt;($D$371-6%)</formula>
    </cfRule>
  </conditionalFormatting>
  <conditionalFormatting sqref="H438">
    <cfRule type="expression" dxfId="1" priority="574">
      <formula>H438&gt;($D$371+6%)</formula>
    </cfRule>
  </conditionalFormatting>
  <conditionalFormatting sqref="H438">
    <cfRule type="expression" dxfId="2" priority="575">
      <formula>H438&lt;($D$371-3%)</formula>
    </cfRule>
  </conditionalFormatting>
  <conditionalFormatting sqref="H438">
    <cfRule type="expression" dxfId="3" priority="576">
      <formula>H438&gt;($D$371+3%)</formula>
    </cfRule>
  </conditionalFormatting>
  <conditionalFormatting sqref="H439">
    <cfRule type="expression" dxfId="0" priority="577">
      <formula>H439&lt;($D$371-6%)</formula>
    </cfRule>
  </conditionalFormatting>
  <conditionalFormatting sqref="H439">
    <cfRule type="expression" dxfId="1" priority="578">
      <formula>H439&gt;($D$371+6%)</formula>
    </cfRule>
  </conditionalFormatting>
  <conditionalFormatting sqref="H439">
    <cfRule type="expression" dxfId="2" priority="579">
      <formula>H439&lt;($D$371-3%)</formula>
    </cfRule>
  </conditionalFormatting>
  <conditionalFormatting sqref="H439">
    <cfRule type="expression" dxfId="3" priority="580">
      <formula>H439&gt;($D$371+3%)</formula>
    </cfRule>
  </conditionalFormatting>
  <conditionalFormatting sqref="F442">
    <cfRule type="cellIs" dxfId="5" priority="581" operator="lessThan">
      <formula>-4100</formula>
    </cfRule>
  </conditionalFormatting>
  <conditionalFormatting sqref="F442">
    <cfRule type="cellIs" dxfId="4" priority="582" operator="greaterThanOrEqual">
      <formula>0</formula>
    </cfRule>
  </conditionalFormatting>
  <conditionalFormatting sqref="F442">
    <cfRule type="cellIs" dxfId="4" priority="583" operator="greaterThanOrEqual">
      <formula>0</formula>
    </cfRule>
  </conditionalFormatting>
  <conditionalFormatting sqref="F442">
    <cfRule type="cellIs" dxfId="5" priority="584" operator="lessThan">
      <formula>-4100</formula>
    </cfRule>
  </conditionalFormatting>
  <conditionalFormatting sqref="F442">
    <cfRule type="cellIs" dxfId="4" priority="585" operator="greaterThanOrEqual">
      <formula>0</formula>
    </cfRule>
  </conditionalFormatting>
  <conditionalFormatting sqref="F442">
    <cfRule type="cellIs" dxfId="5" priority="586" operator="lessThan">
      <formula>-4100</formula>
    </cfRule>
  </conditionalFormatting>
  <conditionalFormatting sqref="F442">
    <cfRule type="cellIs" dxfId="4" priority="587" operator="greaterThanOrEqual">
      <formula>0</formula>
    </cfRule>
  </conditionalFormatting>
  <conditionalFormatting sqref="F442">
    <cfRule type="cellIs" dxfId="5" priority="588" operator="lessThan">
      <formula>-4100</formula>
    </cfRule>
  </conditionalFormatting>
  <conditionalFormatting sqref="F442">
    <cfRule type="cellIs" dxfId="4" priority="589" operator="greaterThanOrEqual">
      <formula>0</formula>
    </cfRule>
  </conditionalFormatting>
  <conditionalFormatting sqref="F442">
    <cfRule type="cellIs" dxfId="5" priority="590" operator="lessThan">
      <formula>-4100</formula>
    </cfRule>
  </conditionalFormatting>
  <conditionalFormatting sqref="F442">
    <cfRule type="cellIs" dxfId="5" priority="591" operator="lessThan">
      <formula>-4100</formula>
    </cfRule>
  </conditionalFormatting>
  <conditionalFormatting sqref="F442">
    <cfRule type="cellIs" dxfId="4" priority="592" operator="greaterThanOrEqual">
      <formula>0</formula>
    </cfRule>
  </conditionalFormatting>
  <conditionalFormatting sqref="F442">
    <cfRule type="cellIs" dxfId="4" priority="593" operator="greaterThanOrEqual">
      <formula>0</formula>
    </cfRule>
  </conditionalFormatting>
  <conditionalFormatting sqref="F442">
    <cfRule type="cellIs" dxfId="5" priority="594" operator="lessThan">
      <formula>-4100</formula>
    </cfRule>
  </conditionalFormatting>
  <conditionalFormatting sqref="F442">
    <cfRule type="cellIs" dxfId="4" priority="595" operator="greaterThanOrEqual">
      <formula>0</formula>
    </cfRule>
  </conditionalFormatting>
  <conditionalFormatting sqref="F442">
    <cfRule type="cellIs" dxfId="5" priority="596" operator="lessThan">
      <formula>-4100</formula>
    </cfRule>
  </conditionalFormatting>
  <conditionalFormatting sqref="E442">
    <cfRule type="cellIs" dxfId="6" priority="597" operator="greaterThan">
      <formula>0</formula>
    </cfRule>
  </conditionalFormatting>
  <conditionalFormatting sqref="F512">
    <cfRule type="cellIs" dxfId="5" priority="598" operator="lessThan">
      <formula>-4100</formula>
    </cfRule>
  </conditionalFormatting>
  <conditionalFormatting sqref="F512">
    <cfRule type="cellIs" dxfId="4" priority="599" operator="greaterThanOrEqual">
      <formula>0</formula>
    </cfRule>
  </conditionalFormatting>
  <conditionalFormatting sqref="F512">
    <cfRule type="cellIs" dxfId="4" priority="600" operator="greaterThanOrEqual">
      <formula>0</formula>
    </cfRule>
  </conditionalFormatting>
  <conditionalFormatting sqref="F512">
    <cfRule type="cellIs" dxfId="5" priority="601" operator="lessThan">
      <formula>-4100</formula>
    </cfRule>
  </conditionalFormatting>
  <conditionalFormatting sqref="F512">
    <cfRule type="cellIs" dxfId="4" priority="602" operator="greaterThanOrEqual">
      <formula>0</formula>
    </cfRule>
  </conditionalFormatting>
  <conditionalFormatting sqref="F512">
    <cfRule type="cellIs" dxfId="5" priority="603" operator="lessThan">
      <formula>-4100</formula>
    </cfRule>
  </conditionalFormatting>
  <conditionalFormatting sqref="F512">
    <cfRule type="cellIs" dxfId="4" priority="604" operator="greaterThanOrEqual">
      <formula>0</formula>
    </cfRule>
  </conditionalFormatting>
  <conditionalFormatting sqref="F512">
    <cfRule type="cellIs" dxfId="5" priority="605" operator="lessThan">
      <formula>-4100</formula>
    </cfRule>
  </conditionalFormatting>
  <conditionalFormatting sqref="F512">
    <cfRule type="cellIs" dxfId="4" priority="606" operator="greaterThanOrEqual">
      <formula>0</formula>
    </cfRule>
  </conditionalFormatting>
  <conditionalFormatting sqref="F512">
    <cfRule type="cellIs" dxfId="5" priority="607" operator="lessThan">
      <formula>-4100</formula>
    </cfRule>
  </conditionalFormatting>
  <conditionalFormatting sqref="F512">
    <cfRule type="cellIs" dxfId="5" priority="608" operator="lessThan">
      <formula>-4100</formula>
    </cfRule>
  </conditionalFormatting>
  <conditionalFormatting sqref="F512">
    <cfRule type="cellIs" dxfId="4" priority="609" operator="greaterThanOrEqual">
      <formula>0</formula>
    </cfRule>
  </conditionalFormatting>
  <conditionalFormatting sqref="F512">
    <cfRule type="cellIs" dxfId="4" priority="610" operator="greaterThanOrEqual">
      <formula>0</formula>
    </cfRule>
  </conditionalFormatting>
  <conditionalFormatting sqref="F512">
    <cfRule type="cellIs" dxfId="5" priority="611" operator="lessThan">
      <formula>-4100</formula>
    </cfRule>
  </conditionalFormatting>
  <conditionalFormatting sqref="F512">
    <cfRule type="cellIs" dxfId="4" priority="612" operator="greaterThanOrEqual">
      <formula>0</formula>
    </cfRule>
  </conditionalFormatting>
  <conditionalFormatting sqref="F512">
    <cfRule type="cellIs" dxfId="5" priority="613" operator="lessThan">
      <formula>-4100</formula>
    </cfRule>
  </conditionalFormatting>
  <conditionalFormatting sqref="E512">
    <cfRule type="cellIs" dxfId="6" priority="614" operator="greaterThan">
      <formula>0</formula>
    </cfRule>
  </conditionalFormatting>
  <conditionalFormatting sqref="F688">
    <cfRule type="cellIs" dxfId="5" priority="615" operator="lessThan">
      <formula>-4100</formula>
    </cfRule>
  </conditionalFormatting>
  <conditionalFormatting sqref="F688">
    <cfRule type="cellIs" dxfId="4" priority="616" operator="greaterThanOrEqual">
      <formula>0</formula>
    </cfRule>
  </conditionalFormatting>
  <conditionalFormatting sqref="F688">
    <cfRule type="cellIs" dxfId="4" priority="617" operator="greaterThanOrEqual">
      <formula>0</formula>
    </cfRule>
  </conditionalFormatting>
  <conditionalFormatting sqref="F688">
    <cfRule type="cellIs" dxfId="5" priority="618" operator="lessThan">
      <formula>-4100</formula>
    </cfRule>
  </conditionalFormatting>
  <conditionalFormatting sqref="F688">
    <cfRule type="cellIs" dxfId="4" priority="619" operator="greaterThanOrEqual">
      <formula>0</formula>
    </cfRule>
  </conditionalFormatting>
  <conditionalFormatting sqref="F688">
    <cfRule type="cellIs" dxfId="5" priority="620" operator="lessThan">
      <formula>-4100</formula>
    </cfRule>
  </conditionalFormatting>
  <conditionalFormatting sqref="F688">
    <cfRule type="cellIs" dxfId="4" priority="621" operator="greaterThanOrEqual">
      <formula>0</formula>
    </cfRule>
  </conditionalFormatting>
  <conditionalFormatting sqref="F688">
    <cfRule type="cellIs" dxfId="5" priority="622" operator="lessThan">
      <formula>-4100</formula>
    </cfRule>
  </conditionalFormatting>
  <conditionalFormatting sqref="E688">
    <cfRule type="cellIs" dxfId="6" priority="623" operator="greaterThan">
      <formula>0</formula>
    </cfRule>
  </conditionalFormatting>
  <conditionalFormatting sqref="H528">
    <cfRule type="expression" dxfId="0" priority="624">
      <formula>H528&lt;($D$371-6%)</formula>
    </cfRule>
  </conditionalFormatting>
  <conditionalFormatting sqref="H528">
    <cfRule type="expression" dxfId="1" priority="625">
      <formula>H528&gt;($D$371+6%)</formula>
    </cfRule>
  </conditionalFormatting>
  <conditionalFormatting sqref="H528">
    <cfRule type="expression" dxfId="2" priority="626">
      <formula>H528&lt;($D$371-3%)</formula>
    </cfRule>
  </conditionalFormatting>
  <conditionalFormatting sqref="H528">
    <cfRule type="expression" dxfId="3" priority="627">
      <formula>H528&gt;($D$371+3%)</formula>
    </cfRule>
  </conditionalFormatting>
  <conditionalFormatting sqref="H529">
    <cfRule type="expression" dxfId="0" priority="628">
      <formula>H529&lt;($D$371-6%)</formula>
    </cfRule>
  </conditionalFormatting>
  <conditionalFormatting sqref="H529">
    <cfRule type="expression" dxfId="1" priority="629">
      <formula>H529&gt;($D$371+6%)</formula>
    </cfRule>
  </conditionalFormatting>
  <conditionalFormatting sqref="H529">
    <cfRule type="expression" dxfId="2" priority="630">
      <formula>H529&lt;($D$371-3%)</formula>
    </cfRule>
  </conditionalFormatting>
  <conditionalFormatting sqref="H529">
    <cfRule type="expression" dxfId="3" priority="631">
      <formula>H529&gt;($D$371+3%)</formula>
    </cfRule>
  </conditionalFormatting>
  <conditionalFormatting sqref="F773">
    <cfRule type="cellIs" dxfId="5" priority="632" operator="lessThan">
      <formula>-4100</formula>
    </cfRule>
  </conditionalFormatting>
  <conditionalFormatting sqref="F773">
    <cfRule type="cellIs" dxfId="4" priority="633" operator="greaterThanOrEqual">
      <formula>0</formula>
    </cfRule>
  </conditionalFormatting>
  <conditionalFormatting sqref="F773">
    <cfRule type="cellIs" dxfId="4" priority="634" operator="greaterThanOrEqual">
      <formula>0</formula>
    </cfRule>
  </conditionalFormatting>
  <conditionalFormatting sqref="F773">
    <cfRule type="cellIs" dxfId="5" priority="635" operator="lessThan">
      <formula>-4100</formula>
    </cfRule>
  </conditionalFormatting>
  <conditionalFormatting sqref="F773">
    <cfRule type="cellIs" dxfId="4" priority="636" operator="greaterThanOrEqual">
      <formula>0</formula>
    </cfRule>
  </conditionalFormatting>
  <conditionalFormatting sqref="F773">
    <cfRule type="cellIs" dxfId="5" priority="637" operator="lessThan">
      <formula>-4100</formula>
    </cfRule>
  </conditionalFormatting>
  <conditionalFormatting sqref="F773">
    <cfRule type="cellIs" dxfId="4" priority="638" operator="greaterThanOrEqual">
      <formula>0</formula>
    </cfRule>
  </conditionalFormatting>
  <conditionalFormatting sqref="F773">
    <cfRule type="cellIs" dxfId="5" priority="639" operator="lessThan">
      <formula>-4100</formula>
    </cfRule>
  </conditionalFormatting>
  <conditionalFormatting sqref="E773">
    <cfRule type="cellIs" dxfId="6" priority="640" operator="greaterThan">
      <formula>0</formula>
    </cfRule>
  </conditionalFormatting>
  <conditionalFormatting sqref="F768">
    <cfRule type="cellIs" dxfId="5" priority="641" operator="lessThan">
      <formula>-4100</formula>
    </cfRule>
  </conditionalFormatting>
  <conditionalFormatting sqref="F768">
    <cfRule type="cellIs" dxfId="4" priority="642" operator="greaterThanOrEqual">
      <formula>0</formula>
    </cfRule>
  </conditionalFormatting>
  <conditionalFormatting sqref="F768">
    <cfRule type="cellIs" dxfId="4" priority="643" operator="greaterThanOrEqual">
      <formula>0</formula>
    </cfRule>
  </conditionalFormatting>
  <conditionalFormatting sqref="F768">
    <cfRule type="cellIs" dxfId="5" priority="644" operator="lessThan">
      <formula>-4100</formula>
    </cfRule>
  </conditionalFormatting>
  <conditionalFormatting sqref="F768">
    <cfRule type="cellIs" dxfId="4" priority="645" operator="greaterThanOrEqual">
      <formula>0</formula>
    </cfRule>
  </conditionalFormatting>
  <conditionalFormatting sqref="F768">
    <cfRule type="cellIs" dxfId="5" priority="646" operator="lessThan">
      <formula>-4100</formula>
    </cfRule>
  </conditionalFormatting>
  <conditionalFormatting sqref="F768">
    <cfRule type="cellIs" dxfId="4" priority="647" operator="greaterThanOrEqual">
      <formula>0</formula>
    </cfRule>
  </conditionalFormatting>
  <conditionalFormatting sqref="F768">
    <cfRule type="cellIs" dxfId="5" priority="648" operator="lessThan">
      <formula>-4100</formula>
    </cfRule>
  </conditionalFormatting>
  <conditionalFormatting sqref="E768">
    <cfRule type="cellIs" dxfId="6" priority="649" operator="greaterThan">
      <formula>0</formula>
    </cfRule>
  </conditionalFormatting>
  <conditionalFormatting sqref="F758">
    <cfRule type="cellIs" dxfId="5" priority="650" operator="lessThan">
      <formula>-4100</formula>
    </cfRule>
  </conditionalFormatting>
  <conditionalFormatting sqref="F758">
    <cfRule type="cellIs" dxfId="4" priority="651" operator="greaterThanOrEqual">
      <formula>0</formula>
    </cfRule>
  </conditionalFormatting>
  <conditionalFormatting sqref="F758">
    <cfRule type="cellIs" dxfId="4" priority="652" operator="greaterThanOrEqual">
      <formula>0</formula>
    </cfRule>
  </conditionalFormatting>
  <conditionalFormatting sqref="F758">
    <cfRule type="cellIs" dxfId="5" priority="653" operator="lessThan">
      <formula>-4100</formula>
    </cfRule>
  </conditionalFormatting>
  <conditionalFormatting sqref="F758">
    <cfRule type="cellIs" dxfId="4" priority="654" operator="greaterThanOrEqual">
      <formula>0</formula>
    </cfRule>
  </conditionalFormatting>
  <conditionalFormatting sqref="F758">
    <cfRule type="cellIs" dxfId="5" priority="655" operator="lessThan">
      <formula>-4100</formula>
    </cfRule>
  </conditionalFormatting>
  <conditionalFormatting sqref="F758">
    <cfRule type="cellIs" dxfId="4" priority="656" operator="greaterThanOrEqual">
      <formula>0</formula>
    </cfRule>
  </conditionalFormatting>
  <conditionalFormatting sqref="F758">
    <cfRule type="cellIs" dxfId="5" priority="657" operator="lessThan">
      <formula>-4100</formula>
    </cfRule>
  </conditionalFormatting>
  <conditionalFormatting sqref="E758">
    <cfRule type="cellIs" dxfId="6" priority="658" operator="greaterThan">
      <formula>0</formula>
    </cfRule>
  </conditionalFormatting>
  <conditionalFormatting sqref="F763">
    <cfRule type="cellIs" dxfId="5" priority="659" operator="lessThan">
      <formula>-4100</formula>
    </cfRule>
  </conditionalFormatting>
  <conditionalFormatting sqref="F763">
    <cfRule type="cellIs" dxfId="4" priority="660" operator="greaterThanOrEqual">
      <formula>0</formula>
    </cfRule>
  </conditionalFormatting>
  <conditionalFormatting sqref="F763">
    <cfRule type="cellIs" dxfId="4" priority="661" operator="greaterThanOrEqual">
      <formula>0</formula>
    </cfRule>
  </conditionalFormatting>
  <conditionalFormatting sqref="F763">
    <cfRule type="cellIs" dxfId="5" priority="662" operator="lessThan">
      <formula>-4100</formula>
    </cfRule>
  </conditionalFormatting>
  <conditionalFormatting sqref="F763">
    <cfRule type="cellIs" dxfId="4" priority="663" operator="greaterThanOrEqual">
      <formula>0</formula>
    </cfRule>
  </conditionalFormatting>
  <conditionalFormatting sqref="F763">
    <cfRule type="cellIs" dxfId="5" priority="664" operator="lessThan">
      <formula>-4100</formula>
    </cfRule>
  </conditionalFormatting>
  <conditionalFormatting sqref="F763">
    <cfRule type="cellIs" dxfId="4" priority="665" operator="greaterThanOrEqual">
      <formula>0</formula>
    </cfRule>
  </conditionalFormatting>
  <conditionalFormatting sqref="F763">
    <cfRule type="cellIs" dxfId="5" priority="666" operator="lessThan">
      <formula>-4100</formula>
    </cfRule>
  </conditionalFormatting>
  <conditionalFormatting sqref="E763">
    <cfRule type="cellIs" dxfId="6" priority="667" operator="greaterThan">
      <formula>0</formula>
    </cfRule>
  </conditionalFormatting>
  <conditionalFormatting sqref="F753">
    <cfRule type="cellIs" dxfId="5" priority="668" operator="lessThan">
      <formula>-4100</formula>
    </cfRule>
  </conditionalFormatting>
  <conditionalFormatting sqref="F753">
    <cfRule type="cellIs" dxfId="4" priority="669" operator="greaterThanOrEqual">
      <formula>0</formula>
    </cfRule>
  </conditionalFormatting>
  <conditionalFormatting sqref="F753">
    <cfRule type="cellIs" dxfId="4" priority="670" operator="greaterThanOrEqual">
      <formula>0</formula>
    </cfRule>
  </conditionalFormatting>
  <conditionalFormatting sqref="F753">
    <cfRule type="cellIs" dxfId="5" priority="671" operator="lessThan">
      <formula>-4100</formula>
    </cfRule>
  </conditionalFormatting>
  <conditionalFormatting sqref="F753">
    <cfRule type="cellIs" dxfId="4" priority="672" operator="greaterThanOrEqual">
      <formula>0</formula>
    </cfRule>
  </conditionalFormatting>
  <conditionalFormatting sqref="F753">
    <cfRule type="cellIs" dxfId="5" priority="673" operator="lessThan">
      <formula>-4100</formula>
    </cfRule>
  </conditionalFormatting>
  <conditionalFormatting sqref="F753">
    <cfRule type="cellIs" dxfId="4" priority="674" operator="greaterThanOrEqual">
      <formula>0</formula>
    </cfRule>
  </conditionalFormatting>
  <conditionalFormatting sqref="F753">
    <cfRule type="cellIs" dxfId="5" priority="675" operator="lessThan">
      <formula>-4100</formula>
    </cfRule>
  </conditionalFormatting>
  <conditionalFormatting sqref="E753">
    <cfRule type="cellIs" dxfId="6" priority="676" operator="greaterThan">
      <formula>0</formula>
    </cfRule>
  </conditionalFormatting>
  <conditionalFormatting sqref="F623">
    <cfRule type="cellIs" dxfId="5" priority="677" operator="lessThan">
      <formula>-4100</formula>
    </cfRule>
  </conditionalFormatting>
  <conditionalFormatting sqref="F623">
    <cfRule type="cellIs" dxfId="4" priority="678" operator="greaterThanOrEqual">
      <formula>0</formula>
    </cfRule>
  </conditionalFormatting>
  <conditionalFormatting sqref="F623">
    <cfRule type="cellIs" dxfId="4" priority="679" operator="greaterThanOrEqual">
      <formula>0</formula>
    </cfRule>
  </conditionalFormatting>
  <conditionalFormatting sqref="F623">
    <cfRule type="cellIs" dxfId="5" priority="680" operator="lessThan">
      <formula>-4100</formula>
    </cfRule>
  </conditionalFormatting>
  <conditionalFormatting sqref="F623">
    <cfRule type="cellIs" dxfId="4" priority="681" operator="greaterThanOrEqual">
      <formula>0</formula>
    </cfRule>
  </conditionalFormatting>
  <conditionalFormatting sqref="F623">
    <cfRule type="cellIs" dxfId="5" priority="682" operator="lessThan">
      <formula>-4100</formula>
    </cfRule>
  </conditionalFormatting>
  <conditionalFormatting sqref="F623">
    <cfRule type="cellIs" dxfId="4" priority="683" operator="greaterThanOrEqual">
      <formula>0</formula>
    </cfRule>
  </conditionalFormatting>
  <conditionalFormatting sqref="F623">
    <cfRule type="cellIs" dxfId="5" priority="684" operator="lessThan">
      <formula>-4100</formula>
    </cfRule>
  </conditionalFormatting>
  <conditionalFormatting sqref="F623">
    <cfRule type="cellIs" dxfId="4" priority="685" operator="greaterThanOrEqual">
      <formula>0</formula>
    </cfRule>
  </conditionalFormatting>
  <conditionalFormatting sqref="F623">
    <cfRule type="cellIs" dxfId="5" priority="686" operator="lessThan">
      <formula>-4100</formula>
    </cfRule>
  </conditionalFormatting>
  <conditionalFormatting sqref="F623">
    <cfRule type="cellIs" dxfId="5" priority="687" operator="lessThan">
      <formula>-4100</formula>
    </cfRule>
  </conditionalFormatting>
  <conditionalFormatting sqref="F623">
    <cfRule type="cellIs" dxfId="4" priority="688" operator="greaterThanOrEqual">
      <formula>0</formula>
    </cfRule>
  </conditionalFormatting>
  <conditionalFormatting sqref="F623">
    <cfRule type="cellIs" dxfId="4" priority="689" operator="greaterThanOrEqual">
      <formula>0</formula>
    </cfRule>
  </conditionalFormatting>
  <conditionalFormatting sqref="F623">
    <cfRule type="cellIs" dxfId="5" priority="690" operator="lessThan">
      <formula>-4100</formula>
    </cfRule>
  </conditionalFormatting>
  <conditionalFormatting sqref="F623">
    <cfRule type="cellIs" dxfId="4" priority="691" operator="greaterThanOrEqual">
      <formula>0</formula>
    </cfRule>
  </conditionalFormatting>
  <conditionalFormatting sqref="F623">
    <cfRule type="cellIs" dxfId="5" priority="692" operator="lessThan">
      <formula>-4100</formula>
    </cfRule>
  </conditionalFormatting>
  <conditionalFormatting sqref="E623">
    <cfRule type="cellIs" dxfId="6" priority="693" operator="greaterThan">
      <formula>0</formula>
    </cfRule>
  </conditionalFormatting>
  <conditionalFormatting sqref="H408">
    <cfRule type="expression" dxfId="0" priority="694">
      <formula>H408&lt;($D$371-6%)</formula>
    </cfRule>
  </conditionalFormatting>
  <conditionalFormatting sqref="H408">
    <cfRule type="expression" dxfId="1" priority="695">
      <formula>H408&gt;($D$371+6%)</formula>
    </cfRule>
  </conditionalFormatting>
  <conditionalFormatting sqref="H408">
    <cfRule type="expression" dxfId="2" priority="696">
      <formula>H408&lt;($D$371-3%)</formula>
    </cfRule>
  </conditionalFormatting>
  <conditionalFormatting sqref="H408">
    <cfRule type="expression" dxfId="3" priority="697">
      <formula>H408&gt;($D$371+3%)</formula>
    </cfRule>
  </conditionalFormatting>
  <conditionalFormatting sqref="H409">
    <cfRule type="expression" dxfId="0" priority="698">
      <formula>H409&lt;($D$371-6%)</formula>
    </cfRule>
  </conditionalFormatting>
  <conditionalFormatting sqref="H409">
    <cfRule type="expression" dxfId="1" priority="699">
      <formula>H409&gt;($D$371+6%)</formula>
    </cfRule>
  </conditionalFormatting>
  <conditionalFormatting sqref="H409">
    <cfRule type="expression" dxfId="2" priority="700">
      <formula>H409&lt;($D$371-3%)</formula>
    </cfRule>
  </conditionalFormatting>
  <conditionalFormatting sqref="H409">
    <cfRule type="expression" dxfId="3" priority="701">
      <formula>H409&gt;($D$371+3%)</formula>
    </cfRule>
  </conditionalFormatting>
  <conditionalFormatting sqref="F412">
    <cfRule type="cellIs" dxfId="5" priority="702" operator="lessThan">
      <formula>-4100</formula>
    </cfRule>
  </conditionalFormatting>
  <conditionalFormatting sqref="F412">
    <cfRule type="cellIs" dxfId="4" priority="703" operator="greaterThanOrEqual">
      <formula>0</formula>
    </cfRule>
  </conditionalFormatting>
  <conditionalFormatting sqref="F412">
    <cfRule type="cellIs" dxfId="4" priority="704" operator="greaterThanOrEqual">
      <formula>0</formula>
    </cfRule>
  </conditionalFormatting>
  <conditionalFormatting sqref="F412">
    <cfRule type="cellIs" dxfId="5" priority="705" operator="lessThan">
      <formula>-4100</formula>
    </cfRule>
  </conditionalFormatting>
  <conditionalFormatting sqref="F412">
    <cfRule type="cellIs" dxfId="4" priority="706" operator="greaterThanOrEqual">
      <formula>0</formula>
    </cfRule>
  </conditionalFormatting>
  <conditionalFormatting sqref="F412">
    <cfRule type="cellIs" dxfId="5" priority="707" operator="lessThan">
      <formula>-4100</formula>
    </cfRule>
  </conditionalFormatting>
  <conditionalFormatting sqref="F412">
    <cfRule type="cellIs" dxfId="4" priority="708" operator="greaterThanOrEqual">
      <formula>0</formula>
    </cfRule>
  </conditionalFormatting>
  <conditionalFormatting sqref="F412">
    <cfRule type="cellIs" dxfId="5" priority="709" operator="lessThan">
      <formula>-4100</formula>
    </cfRule>
  </conditionalFormatting>
  <conditionalFormatting sqref="F412">
    <cfRule type="cellIs" dxfId="4" priority="710" operator="greaterThanOrEqual">
      <formula>0</formula>
    </cfRule>
  </conditionalFormatting>
  <conditionalFormatting sqref="F412">
    <cfRule type="cellIs" dxfId="5" priority="711" operator="lessThan">
      <formula>-4100</formula>
    </cfRule>
  </conditionalFormatting>
  <conditionalFormatting sqref="F412">
    <cfRule type="cellIs" dxfId="5" priority="712" operator="lessThan">
      <formula>-4100</formula>
    </cfRule>
  </conditionalFormatting>
  <conditionalFormatting sqref="F412">
    <cfRule type="cellIs" dxfId="4" priority="713" operator="greaterThanOrEqual">
      <formula>0</formula>
    </cfRule>
  </conditionalFormatting>
  <conditionalFormatting sqref="F412">
    <cfRule type="cellIs" dxfId="4" priority="714" operator="greaterThanOrEqual">
      <formula>0</formula>
    </cfRule>
  </conditionalFormatting>
  <conditionalFormatting sqref="F412">
    <cfRule type="cellIs" dxfId="5" priority="715" operator="lessThan">
      <formula>-4100</formula>
    </cfRule>
  </conditionalFormatting>
  <conditionalFormatting sqref="F412">
    <cfRule type="cellIs" dxfId="4" priority="716" operator="greaterThanOrEqual">
      <formula>0</formula>
    </cfRule>
  </conditionalFormatting>
  <conditionalFormatting sqref="F412">
    <cfRule type="cellIs" dxfId="5" priority="717" operator="lessThan">
      <formula>-4100</formula>
    </cfRule>
  </conditionalFormatting>
  <conditionalFormatting sqref="E412">
    <cfRule type="cellIs" dxfId="6" priority="718" operator="greaterThan">
      <formula>0</formula>
    </cfRule>
  </conditionalFormatting>
  <conditionalFormatting sqref="F823">
    <cfRule type="cellIs" dxfId="4" priority="719" operator="greaterThanOrEqual">
      <formula>0</formula>
    </cfRule>
  </conditionalFormatting>
  <conditionalFormatting sqref="F823">
    <cfRule type="cellIs" dxfId="5" priority="720" operator="lessThan">
      <formula>-4100</formula>
    </cfRule>
  </conditionalFormatting>
  <conditionalFormatting sqref="F823">
    <cfRule type="cellIs" dxfId="4" priority="721" operator="greaterThanOrEqual">
      <formula>0</formula>
    </cfRule>
  </conditionalFormatting>
  <conditionalFormatting sqref="F823">
    <cfRule type="cellIs" dxfId="5" priority="722" operator="lessThan">
      <formula>-4100</formula>
    </cfRule>
  </conditionalFormatting>
  <conditionalFormatting sqref="F823">
    <cfRule type="cellIs" dxfId="4" priority="723" operator="greaterThanOrEqual">
      <formula>0</formula>
    </cfRule>
  </conditionalFormatting>
  <conditionalFormatting sqref="F823">
    <cfRule type="cellIs" dxfId="5" priority="724" operator="lessThan">
      <formula>-4100</formula>
    </cfRule>
  </conditionalFormatting>
  <conditionalFormatting sqref="F823">
    <cfRule type="cellIs" dxfId="4" priority="725" operator="greaterThanOrEqual">
      <formula>0</formula>
    </cfRule>
  </conditionalFormatting>
  <conditionalFormatting sqref="F823">
    <cfRule type="cellIs" dxfId="5" priority="726" operator="lessThan">
      <formula>-4100</formula>
    </cfRule>
  </conditionalFormatting>
  <conditionalFormatting sqref="F823">
    <cfRule type="cellIs" dxfId="4" priority="727" operator="greaterThanOrEqual">
      <formula>0</formula>
    </cfRule>
  </conditionalFormatting>
  <conditionalFormatting sqref="F823">
    <cfRule type="cellIs" dxfId="5" priority="728" operator="lessThan">
      <formula>-4100</formula>
    </cfRule>
  </conditionalFormatting>
  <conditionalFormatting sqref="F823">
    <cfRule type="cellIs" dxfId="4" priority="729" operator="greaterThanOrEqual">
      <formula>0</formula>
    </cfRule>
  </conditionalFormatting>
  <conditionalFormatting sqref="F823">
    <cfRule type="cellIs" dxfId="5" priority="730" operator="lessThan">
      <formula>-4100</formula>
    </cfRule>
  </conditionalFormatting>
  <conditionalFormatting sqref="F823">
    <cfRule type="cellIs" dxfId="4" priority="731" operator="greaterThanOrEqual">
      <formula>0</formula>
    </cfRule>
  </conditionalFormatting>
  <conditionalFormatting sqref="F823">
    <cfRule type="cellIs" dxfId="5" priority="732" operator="lessThan">
      <formula>-4100</formula>
    </cfRule>
  </conditionalFormatting>
  <conditionalFormatting sqref="F823">
    <cfRule type="cellIs" dxfId="4" priority="733" operator="greaterThanOrEqual">
      <formula>0</formula>
    </cfRule>
  </conditionalFormatting>
  <conditionalFormatting sqref="F823">
    <cfRule type="cellIs" dxfId="5" priority="734" operator="lessThan">
      <formula>-4100</formula>
    </cfRule>
  </conditionalFormatting>
  <conditionalFormatting sqref="E823">
    <cfRule type="cellIs" dxfId="6" priority="735" operator="greaterThan">
      <formula>0</formula>
    </cfRule>
  </conditionalFormatting>
  <conditionalFormatting sqref="F818">
    <cfRule type="cellIs" dxfId="4" priority="736" operator="greaterThanOrEqual">
      <formula>0</formula>
    </cfRule>
  </conditionalFormatting>
  <conditionalFormatting sqref="F818">
    <cfRule type="cellIs" dxfId="5" priority="737" operator="lessThan">
      <formula>-4100</formula>
    </cfRule>
  </conditionalFormatting>
  <conditionalFormatting sqref="F818">
    <cfRule type="cellIs" dxfId="4" priority="738" operator="greaterThanOrEqual">
      <formula>0</formula>
    </cfRule>
  </conditionalFormatting>
  <conditionalFormatting sqref="F818">
    <cfRule type="cellIs" dxfId="5" priority="739" operator="lessThan">
      <formula>-4100</formula>
    </cfRule>
  </conditionalFormatting>
  <conditionalFormatting sqref="F818">
    <cfRule type="cellIs" dxfId="4" priority="740" operator="greaterThanOrEqual">
      <formula>0</formula>
    </cfRule>
  </conditionalFormatting>
  <conditionalFormatting sqref="F818">
    <cfRule type="cellIs" dxfId="5" priority="741" operator="lessThan">
      <formula>-4100</formula>
    </cfRule>
  </conditionalFormatting>
  <conditionalFormatting sqref="F818">
    <cfRule type="cellIs" dxfId="4" priority="742" operator="greaterThanOrEqual">
      <formula>0</formula>
    </cfRule>
  </conditionalFormatting>
  <conditionalFormatting sqref="F818">
    <cfRule type="cellIs" dxfId="5" priority="743" operator="lessThan">
      <formula>-4100</formula>
    </cfRule>
  </conditionalFormatting>
  <conditionalFormatting sqref="F818">
    <cfRule type="cellIs" dxfId="4" priority="744" operator="greaterThanOrEqual">
      <formula>0</formula>
    </cfRule>
  </conditionalFormatting>
  <conditionalFormatting sqref="F818">
    <cfRule type="cellIs" dxfId="5" priority="745" operator="lessThan">
      <formula>-4100</formula>
    </cfRule>
  </conditionalFormatting>
  <conditionalFormatting sqref="F818">
    <cfRule type="cellIs" dxfId="4" priority="746" operator="greaterThanOrEqual">
      <formula>0</formula>
    </cfRule>
  </conditionalFormatting>
  <conditionalFormatting sqref="F818">
    <cfRule type="cellIs" dxfId="5" priority="747" operator="lessThan">
      <formula>-4100</formula>
    </cfRule>
  </conditionalFormatting>
  <conditionalFormatting sqref="F818">
    <cfRule type="cellIs" dxfId="4" priority="748" operator="greaterThanOrEqual">
      <formula>0</formula>
    </cfRule>
  </conditionalFormatting>
  <conditionalFormatting sqref="F818">
    <cfRule type="cellIs" dxfId="5" priority="749" operator="lessThan">
      <formula>-4100</formula>
    </cfRule>
  </conditionalFormatting>
  <conditionalFormatting sqref="F818">
    <cfRule type="cellIs" dxfId="4" priority="750" operator="greaterThanOrEqual">
      <formula>0</formula>
    </cfRule>
  </conditionalFormatting>
  <conditionalFormatting sqref="F818">
    <cfRule type="cellIs" dxfId="5" priority="751" operator="lessThan">
      <formula>-4100</formula>
    </cfRule>
  </conditionalFormatting>
  <conditionalFormatting sqref="E818">
    <cfRule type="cellIs" dxfId="6" priority="752" operator="greaterThan">
      <formula>0</formula>
    </cfRule>
  </conditionalFormatting>
  <conditionalFormatting sqref="F532">
    <cfRule type="cellIs" dxfId="4" priority="753" operator="greaterThanOrEqual">
      <formula>0</formula>
    </cfRule>
  </conditionalFormatting>
  <conditionalFormatting sqref="F532">
    <cfRule type="cellIs" dxfId="5" priority="754" operator="lessThan">
      <formula>-4100</formula>
    </cfRule>
  </conditionalFormatting>
  <conditionalFormatting sqref="F532">
    <cfRule type="cellIs" dxfId="5" priority="755" operator="lessThan">
      <formula>-4100</formula>
    </cfRule>
  </conditionalFormatting>
  <conditionalFormatting sqref="F532">
    <cfRule type="cellIs" dxfId="4" priority="756" operator="greaterThanOrEqual">
      <formula>0</formula>
    </cfRule>
  </conditionalFormatting>
  <conditionalFormatting sqref="F532">
    <cfRule type="cellIs" dxfId="4" priority="757" operator="greaterThanOrEqual">
      <formula>0</formula>
    </cfRule>
  </conditionalFormatting>
  <conditionalFormatting sqref="F532">
    <cfRule type="cellIs" dxfId="5" priority="758" operator="lessThan">
      <formula>-4100</formula>
    </cfRule>
  </conditionalFormatting>
  <conditionalFormatting sqref="E532">
    <cfRule type="cellIs" dxfId="6" priority="759" operator="greaterThan">
      <formula>0</formula>
    </cfRule>
  </conditionalFormatting>
  <conditionalFormatting sqref="F532">
    <cfRule type="cellIs" dxfId="4" priority="760" operator="greaterThanOrEqual">
      <formula>0</formula>
    </cfRule>
  </conditionalFormatting>
  <conditionalFormatting sqref="F532">
    <cfRule type="cellIs" dxfId="5" priority="761" operator="lessThan">
      <formula>-4100</formula>
    </cfRule>
  </conditionalFormatting>
  <conditionalFormatting sqref="F532">
    <cfRule type="cellIs" dxfId="4" priority="762" operator="greaterThanOrEqual">
      <formula>0</formula>
    </cfRule>
  </conditionalFormatting>
  <conditionalFormatting sqref="F532">
    <cfRule type="cellIs" dxfId="5" priority="763" operator="lessThan">
      <formula>-4100</formula>
    </cfRule>
  </conditionalFormatting>
  <conditionalFormatting sqref="F532">
    <cfRule type="cellIs" dxfId="4" priority="764" operator="greaterThanOrEqual">
      <formula>0</formula>
    </cfRule>
  </conditionalFormatting>
  <conditionalFormatting sqref="F532">
    <cfRule type="cellIs" dxfId="5" priority="765" operator="lessThan">
      <formula>-4100</formula>
    </cfRule>
  </conditionalFormatting>
  <conditionalFormatting sqref="F532">
    <cfRule type="cellIs" dxfId="4" priority="766" operator="greaterThanOrEqual">
      <formula>0</formula>
    </cfRule>
  </conditionalFormatting>
  <conditionalFormatting sqref="F532">
    <cfRule type="cellIs" dxfId="5" priority="767" operator="lessThan">
      <formula>-4100</formula>
    </cfRule>
  </conditionalFormatting>
  <conditionalFormatting sqref="F532">
    <cfRule type="cellIs" dxfId="4" priority="768" operator="greaterThanOrEqual">
      <formula>0</formula>
    </cfRule>
  </conditionalFormatting>
  <conditionalFormatting sqref="F532">
    <cfRule type="cellIs" dxfId="5" priority="769" operator="lessThan">
      <formula>-4100</formula>
    </cfRule>
  </conditionalFormatting>
  <conditionalFormatting sqref="H428">
    <cfRule type="expression" dxfId="0" priority="770">
      <formula>H428&lt;($D$371-6%)</formula>
    </cfRule>
  </conditionalFormatting>
  <conditionalFormatting sqref="H428">
    <cfRule type="expression" dxfId="1" priority="771">
      <formula>H428&gt;($D$371+6%)</formula>
    </cfRule>
  </conditionalFormatting>
  <conditionalFormatting sqref="H428">
    <cfRule type="expression" dxfId="2" priority="772">
      <formula>H428&lt;($D$371-3%)</formula>
    </cfRule>
  </conditionalFormatting>
  <conditionalFormatting sqref="H428">
    <cfRule type="expression" dxfId="3" priority="773">
      <formula>H428&gt;($D$371+3%)</formula>
    </cfRule>
  </conditionalFormatting>
  <conditionalFormatting sqref="H429">
    <cfRule type="expression" dxfId="0" priority="774">
      <formula>H429&lt;($D$371-6%)</formula>
    </cfRule>
  </conditionalFormatting>
  <conditionalFormatting sqref="H429">
    <cfRule type="expression" dxfId="1" priority="775">
      <formula>H429&gt;($D$371+6%)</formula>
    </cfRule>
  </conditionalFormatting>
  <conditionalFormatting sqref="H429">
    <cfRule type="expression" dxfId="2" priority="776">
      <formula>H429&lt;($D$371-3%)</formula>
    </cfRule>
  </conditionalFormatting>
  <conditionalFormatting sqref="H429">
    <cfRule type="expression" dxfId="3" priority="777">
      <formula>H429&gt;($D$371+3%)</formula>
    </cfRule>
  </conditionalFormatting>
  <conditionalFormatting sqref="F432">
    <cfRule type="cellIs" dxfId="5" priority="778" operator="lessThan">
      <formula>-4100</formula>
    </cfRule>
  </conditionalFormatting>
  <conditionalFormatting sqref="F432">
    <cfRule type="cellIs" dxfId="4" priority="779" operator="greaterThanOrEqual">
      <formula>0</formula>
    </cfRule>
  </conditionalFormatting>
  <conditionalFormatting sqref="F432">
    <cfRule type="cellIs" dxfId="4" priority="780" operator="greaterThanOrEqual">
      <formula>0</formula>
    </cfRule>
  </conditionalFormatting>
  <conditionalFormatting sqref="F432">
    <cfRule type="cellIs" dxfId="5" priority="781" operator="lessThan">
      <formula>-4100</formula>
    </cfRule>
  </conditionalFormatting>
  <conditionalFormatting sqref="F432">
    <cfRule type="cellIs" dxfId="4" priority="782" operator="greaterThanOrEqual">
      <formula>0</formula>
    </cfRule>
  </conditionalFormatting>
  <conditionalFormatting sqref="F432">
    <cfRule type="cellIs" dxfId="5" priority="783" operator="lessThan">
      <formula>-4100</formula>
    </cfRule>
  </conditionalFormatting>
  <conditionalFormatting sqref="F432">
    <cfRule type="cellIs" dxfId="4" priority="784" operator="greaterThanOrEqual">
      <formula>0</formula>
    </cfRule>
  </conditionalFormatting>
  <conditionalFormatting sqref="F432">
    <cfRule type="cellIs" dxfId="5" priority="785" operator="lessThan">
      <formula>-4100</formula>
    </cfRule>
  </conditionalFormatting>
  <conditionalFormatting sqref="F432">
    <cfRule type="cellIs" dxfId="4" priority="786" operator="greaterThanOrEqual">
      <formula>0</formula>
    </cfRule>
  </conditionalFormatting>
  <conditionalFormatting sqref="F432">
    <cfRule type="cellIs" dxfId="5" priority="787" operator="lessThan">
      <formula>-4100</formula>
    </cfRule>
  </conditionalFormatting>
  <conditionalFormatting sqref="F432">
    <cfRule type="cellIs" dxfId="5" priority="788" operator="lessThan">
      <formula>-4100</formula>
    </cfRule>
  </conditionalFormatting>
  <conditionalFormatting sqref="F432">
    <cfRule type="cellIs" dxfId="4" priority="789" operator="greaterThanOrEqual">
      <formula>0</formula>
    </cfRule>
  </conditionalFormatting>
  <conditionalFormatting sqref="F432">
    <cfRule type="cellIs" dxfId="4" priority="790" operator="greaterThanOrEqual">
      <formula>0</formula>
    </cfRule>
  </conditionalFormatting>
  <conditionalFormatting sqref="F432">
    <cfRule type="cellIs" dxfId="5" priority="791" operator="lessThan">
      <formula>-4100</formula>
    </cfRule>
  </conditionalFormatting>
  <conditionalFormatting sqref="F432">
    <cfRule type="cellIs" dxfId="4" priority="792" operator="greaterThanOrEqual">
      <formula>0</formula>
    </cfRule>
  </conditionalFormatting>
  <conditionalFormatting sqref="F432">
    <cfRule type="cellIs" dxfId="5" priority="793" operator="lessThan">
      <formula>-4100</formula>
    </cfRule>
  </conditionalFormatting>
  <conditionalFormatting sqref="E432">
    <cfRule type="cellIs" dxfId="6" priority="794" operator="greaterThan">
      <formula>0</formula>
    </cfRule>
  </conditionalFormatting>
  <conditionalFormatting sqref="H393">
    <cfRule type="expression" dxfId="0" priority="795">
      <formula>H393&lt;($D$371-6%)</formula>
    </cfRule>
  </conditionalFormatting>
  <conditionalFormatting sqref="H393">
    <cfRule type="expression" dxfId="1" priority="796">
      <formula>H393&gt;($D$371+6%)</formula>
    </cfRule>
  </conditionalFormatting>
  <conditionalFormatting sqref="H393">
    <cfRule type="expression" dxfId="2" priority="797">
      <formula>H393&lt;($D$371-3%)</formula>
    </cfRule>
  </conditionalFormatting>
  <conditionalFormatting sqref="H393">
    <cfRule type="expression" dxfId="3" priority="798">
      <formula>H393&gt;($D$371+3%)</formula>
    </cfRule>
  </conditionalFormatting>
  <conditionalFormatting sqref="H394">
    <cfRule type="expression" dxfId="0" priority="799">
      <formula>H394&lt;($D$371-6%)</formula>
    </cfRule>
  </conditionalFormatting>
  <conditionalFormatting sqref="H394">
    <cfRule type="expression" dxfId="1" priority="800">
      <formula>H394&gt;($D$371+6%)</formula>
    </cfRule>
  </conditionalFormatting>
  <conditionalFormatting sqref="H394">
    <cfRule type="expression" dxfId="2" priority="801">
      <formula>H394&lt;($D$371-3%)</formula>
    </cfRule>
  </conditionalFormatting>
  <conditionalFormatting sqref="H394">
    <cfRule type="expression" dxfId="3" priority="802">
      <formula>H394&gt;($D$371+3%)</formula>
    </cfRule>
  </conditionalFormatting>
  <conditionalFormatting sqref="F337">
    <cfRule type="cellIs" dxfId="4" priority="803" operator="greaterThanOrEqual">
      <formula>0</formula>
    </cfRule>
  </conditionalFormatting>
  <conditionalFormatting sqref="F337">
    <cfRule type="cellIs" dxfId="5" priority="804" operator="lessThan">
      <formula>-4100</formula>
    </cfRule>
  </conditionalFormatting>
  <conditionalFormatting sqref="F337">
    <cfRule type="cellIs" dxfId="4" priority="805" operator="greaterThanOrEqual">
      <formula>0</formula>
    </cfRule>
  </conditionalFormatting>
  <conditionalFormatting sqref="F337">
    <cfRule type="cellIs" dxfId="5" priority="806" operator="lessThan">
      <formula>-4100</formula>
    </cfRule>
  </conditionalFormatting>
  <conditionalFormatting sqref="F337">
    <cfRule type="cellIs" dxfId="4" priority="807" operator="greaterThanOrEqual">
      <formula>0</formula>
    </cfRule>
  </conditionalFormatting>
  <conditionalFormatting sqref="F337">
    <cfRule type="cellIs" dxfId="5" priority="808" operator="lessThan">
      <formula>-4100</formula>
    </cfRule>
  </conditionalFormatting>
  <conditionalFormatting sqref="F337">
    <cfRule type="cellIs" dxfId="4" priority="809" operator="greaterThanOrEqual">
      <formula>0</formula>
    </cfRule>
  </conditionalFormatting>
  <conditionalFormatting sqref="F337">
    <cfRule type="cellIs" dxfId="5" priority="810" operator="lessThan">
      <formula>-4100</formula>
    </cfRule>
  </conditionalFormatting>
  <conditionalFormatting sqref="F337">
    <cfRule type="cellIs" dxfId="4" priority="811" operator="greaterThanOrEqual">
      <formula>0</formula>
    </cfRule>
  </conditionalFormatting>
  <conditionalFormatting sqref="F337">
    <cfRule type="cellIs" dxfId="5" priority="812" operator="lessThan">
      <formula>-4100</formula>
    </cfRule>
  </conditionalFormatting>
  <conditionalFormatting sqref="F337">
    <cfRule type="cellIs" dxfId="4" priority="813" operator="greaterThanOrEqual">
      <formula>0</formula>
    </cfRule>
  </conditionalFormatting>
  <conditionalFormatting sqref="F337">
    <cfRule type="cellIs" dxfId="5" priority="814" operator="lessThan">
      <formula>-4100</formula>
    </cfRule>
  </conditionalFormatting>
  <conditionalFormatting sqref="F337">
    <cfRule type="cellIs" dxfId="4" priority="815" operator="greaterThanOrEqual">
      <formula>0</formula>
    </cfRule>
  </conditionalFormatting>
  <conditionalFormatting sqref="F337">
    <cfRule type="cellIs" dxfId="5" priority="816" operator="lessThan">
      <formula>-4100</formula>
    </cfRule>
  </conditionalFormatting>
  <conditionalFormatting sqref="F337">
    <cfRule type="cellIs" dxfId="4" priority="817" operator="greaterThanOrEqual">
      <formula>0</formula>
    </cfRule>
  </conditionalFormatting>
  <conditionalFormatting sqref="F337">
    <cfRule type="cellIs" dxfId="5" priority="818" operator="lessThan">
      <formula>-4100</formula>
    </cfRule>
  </conditionalFormatting>
  <conditionalFormatting sqref="E337">
    <cfRule type="cellIs" dxfId="6" priority="819" operator="greaterThan">
      <formula>0</formula>
    </cfRule>
  </conditionalFormatting>
  <conditionalFormatting sqref="F628">
    <cfRule type="cellIs" dxfId="5" priority="820" operator="lessThan">
      <formula>-4100</formula>
    </cfRule>
  </conditionalFormatting>
  <conditionalFormatting sqref="F628">
    <cfRule type="cellIs" dxfId="4" priority="821" operator="greaterThanOrEqual">
      <formula>0</formula>
    </cfRule>
  </conditionalFormatting>
  <conditionalFormatting sqref="F628">
    <cfRule type="cellIs" dxfId="4" priority="822" operator="greaterThanOrEqual">
      <formula>0</formula>
    </cfRule>
  </conditionalFormatting>
  <conditionalFormatting sqref="F628">
    <cfRule type="cellIs" dxfId="5" priority="823" operator="lessThan">
      <formula>-4100</formula>
    </cfRule>
  </conditionalFormatting>
  <conditionalFormatting sqref="F628">
    <cfRule type="cellIs" dxfId="4" priority="824" operator="greaterThanOrEqual">
      <formula>0</formula>
    </cfRule>
  </conditionalFormatting>
  <conditionalFormatting sqref="F628">
    <cfRule type="cellIs" dxfId="5" priority="825" operator="lessThan">
      <formula>-4100</formula>
    </cfRule>
  </conditionalFormatting>
  <conditionalFormatting sqref="F628">
    <cfRule type="cellIs" dxfId="4" priority="826" operator="greaterThanOrEqual">
      <formula>0</formula>
    </cfRule>
  </conditionalFormatting>
  <conditionalFormatting sqref="F628">
    <cfRule type="cellIs" dxfId="5" priority="827" operator="lessThan">
      <formula>-4100</formula>
    </cfRule>
  </conditionalFormatting>
  <conditionalFormatting sqref="F628">
    <cfRule type="cellIs" dxfId="4" priority="828" operator="greaterThanOrEqual">
      <formula>0</formula>
    </cfRule>
  </conditionalFormatting>
  <conditionalFormatting sqref="F628">
    <cfRule type="cellIs" dxfId="5" priority="829" operator="lessThan">
      <formula>-4100</formula>
    </cfRule>
  </conditionalFormatting>
  <conditionalFormatting sqref="F628">
    <cfRule type="cellIs" dxfId="5" priority="830" operator="lessThan">
      <formula>-4100</formula>
    </cfRule>
  </conditionalFormatting>
  <conditionalFormatting sqref="F628">
    <cfRule type="cellIs" dxfId="4" priority="831" operator="greaterThanOrEqual">
      <formula>0</formula>
    </cfRule>
  </conditionalFormatting>
  <conditionalFormatting sqref="F628">
    <cfRule type="cellIs" dxfId="4" priority="832" operator="greaterThanOrEqual">
      <formula>0</formula>
    </cfRule>
  </conditionalFormatting>
  <conditionalFormatting sqref="F628">
    <cfRule type="cellIs" dxfId="5" priority="833" operator="lessThan">
      <formula>-4100</formula>
    </cfRule>
  </conditionalFormatting>
  <conditionalFormatting sqref="F628">
    <cfRule type="cellIs" dxfId="4" priority="834" operator="greaterThanOrEqual">
      <formula>0</formula>
    </cfRule>
  </conditionalFormatting>
  <conditionalFormatting sqref="F628">
    <cfRule type="cellIs" dxfId="5" priority="835" operator="lessThan">
      <formula>-4100</formula>
    </cfRule>
  </conditionalFormatting>
  <conditionalFormatting sqref="E628">
    <cfRule type="cellIs" dxfId="6" priority="836" operator="greaterThan">
      <formula>0</formula>
    </cfRule>
  </conditionalFormatting>
  <conditionalFormatting sqref="F199">
    <cfRule type="cellIs" dxfId="4" priority="837" operator="greaterThanOrEqual">
      <formula>0</formula>
    </cfRule>
  </conditionalFormatting>
  <conditionalFormatting sqref="F199">
    <cfRule type="cellIs" dxfId="5" priority="838" operator="lessThan">
      <formula>-4100</formula>
    </cfRule>
  </conditionalFormatting>
  <conditionalFormatting sqref="F199">
    <cfRule type="cellIs" dxfId="4" priority="839" operator="greaterThanOrEqual">
      <formula>0</formula>
    </cfRule>
  </conditionalFormatting>
  <conditionalFormatting sqref="F199">
    <cfRule type="cellIs" dxfId="5" priority="840" operator="lessThan">
      <formula>-4100</formula>
    </cfRule>
  </conditionalFormatting>
  <conditionalFormatting sqref="F199">
    <cfRule type="cellIs" dxfId="4" priority="841" operator="greaterThanOrEqual">
      <formula>0</formula>
    </cfRule>
  </conditionalFormatting>
  <conditionalFormatting sqref="F199">
    <cfRule type="cellIs" dxfId="5" priority="842" operator="lessThan">
      <formula>-4100</formula>
    </cfRule>
  </conditionalFormatting>
  <conditionalFormatting sqref="F199">
    <cfRule type="cellIs" dxfId="4" priority="843" operator="greaterThanOrEqual">
      <formula>0</formula>
    </cfRule>
  </conditionalFormatting>
  <conditionalFormatting sqref="F199">
    <cfRule type="cellIs" dxfId="5" priority="844" operator="lessThan">
      <formula>-4100</formula>
    </cfRule>
  </conditionalFormatting>
  <conditionalFormatting sqref="F199">
    <cfRule type="cellIs" dxfId="4" priority="845" operator="greaterThanOrEqual">
      <formula>0</formula>
    </cfRule>
  </conditionalFormatting>
  <conditionalFormatting sqref="F199">
    <cfRule type="cellIs" dxfId="5" priority="846" operator="lessThan">
      <formula>-4100</formula>
    </cfRule>
  </conditionalFormatting>
  <conditionalFormatting sqref="F199">
    <cfRule type="cellIs" dxfId="4" priority="847" operator="greaterThanOrEqual">
      <formula>0</formula>
    </cfRule>
  </conditionalFormatting>
  <conditionalFormatting sqref="F199">
    <cfRule type="cellIs" dxfId="5" priority="848" operator="lessThan">
      <formula>-4100</formula>
    </cfRule>
  </conditionalFormatting>
  <conditionalFormatting sqref="F199">
    <cfRule type="cellIs" dxfId="4" priority="849" operator="greaterThanOrEqual">
      <formula>0</formula>
    </cfRule>
  </conditionalFormatting>
  <conditionalFormatting sqref="F199">
    <cfRule type="cellIs" dxfId="5" priority="850" operator="lessThan">
      <formula>-4100</formula>
    </cfRule>
  </conditionalFormatting>
  <conditionalFormatting sqref="F199">
    <cfRule type="cellIs" dxfId="4" priority="851" operator="greaterThanOrEqual">
      <formula>0</formula>
    </cfRule>
  </conditionalFormatting>
  <conditionalFormatting sqref="F199">
    <cfRule type="cellIs" dxfId="5" priority="852" operator="lessThan">
      <formula>-4100</formula>
    </cfRule>
  </conditionalFormatting>
  <conditionalFormatting sqref="E199">
    <cfRule type="cellIs" dxfId="6" priority="853" operator="greaterThan">
      <formula>0</formula>
    </cfRule>
  </conditionalFormatting>
  <conditionalFormatting sqref="F184">
    <cfRule type="cellIs" dxfId="4" priority="854" operator="greaterThanOrEqual">
      <formula>0</formula>
    </cfRule>
  </conditionalFormatting>
  <conditionalFormatting sqref="F184">
    <cfRule type="cellIs" dxfId="5" priority="855" operator="lessThan">
      <formula>-4100</formula>
    </cfRule>
  </conditionalFormatting>
  <conditionalFormatting sqref="F184">
    <cfRule type="cellIs" dxfId="4" priority="856" operator="greaterThanOrEqual">
      <formula>0</formula>
    </cfRule>
  </conditionalFormatting>
  <conditionalFormatting sqref="F184">
    <cfRule type="cellIs" dxfId="5" priority="857" operator="lessThan">
      <formula>-4100</formula>
    </cfRule>
  </conditionalFormatting>
  <conditionalFormatting sqref="F184">
    <cfRule type="cellIs" dxfId="4" priority="858" operator="greaterThanOrEqual">
      <formula>0</formula>
    </cfRule>
  </conditionalFormatting>
  <conditionalFormatting sqref="F184">
    <cfRule type="cellIs" dxfId="5" priority="859" operator="lessThan">
      <formula>-4100</formula>
    </cfRule>
  </conditionalFormatting>
  <conditionalFormatting sqref="F184">
    <cfRule type="cellIs" dxfId="4" priority="860" operator="greaterThanOrEqual">
      <formula>0</formula>
    </cfRule>
  </conditionalFormatting>
  <conditionalFormatting sqref="F184">
    <cfRule type="cellIs" dxfId="5" priority="861" operator="lessThan">
      <formula>-4100</formula>
    </cfRule>
  </conditionalFormatting>
  <conditionalFormatting sqref="F184">
    <cfRule type="cellIs" dxfId="4" priority="862" operator="greaterThanOrEqual">
      <formula>0</formula>
    </cfRule>
  </conditionalFormatting>
  <conditionalFormatting sqref="F184">
    <cfRule type="cellIs" dxfId="5" priority="863" operator="lessThan">
      <formula>-4100</formula>
    </cfRule>
  </conditionalFormatting>
  <conditionalFormatting sqref="F184">
    <cfRule type="cellIs" dxfId="4" priority="864" operator="greaterThanOrEqual">
      <formula>0</formula>
    </cfRule>
  </conditionalFormatting>
  <conditionalFormatting sqref="F184">
    <cfRule type="cellIs" dxfId="5" priority="865" operator="lessThan">
      <formula>-4100</formula>
    </cfRule>
  </conditionalFormatting>
  <conditionalFormatting sqref="F184">
    <cfRule type="cellIs" dxfId="4" priority="866" operator="greaterThanOrEqual">
      <formula>0</formula>
    </cfRule>
  </conditionalFormatting>
  <conditionalFormatting sqref="F184">
    <cfRule type="cellIs" dxfId="5" priority="867" operator="lessThan">
      <formula>-4100</formula>
    </cfRule>
  </conditionalFormatting>
  <conditionalFormatting sqref="F184">
    <cfRule type="cellIs" dxfId="4" priority="868" operator="greaterThanOrEqual">
      <formula>0</formula>
    </cfRule>
  </conditionalFormatting>
  <conditionalFormatting sqref="F184">
    <cfRule type="cellIs" dxfId="5" priority="869" operator="lessThan">
      <formula>-4100</formula>
    </cfRule>
  </conditionalFormatting>
  <conditionalFormatting sqref="E184">
    <cfRule type="cellIs" dxfId="6" priority="870" operator="greaterThan">
      <formula>0</formula>
    </cfRule>
  </conditionalFormatting>
  <conditionalFormatting sqref="F517">
    <cfRule type="cellIs" dxfId="5" priority="871" operator="lessThan">
      <formula>-4100</formula>
    </cfRule>
  </conditionalFormatting>
  <conditionalFormatting sqref="F517">
    <cfRule type="cellIs" dxfId="4" priority="872" operator="greaterThanOrEqual">
      <formula>0</formula>
    </cfRule>
  </conditionalFormatting>
  <conditionalFormatting sqref="F517">
    <cfRule type="cellIs" dxfId="4" priority="873" operator="greaterThanOrEqual">
      <formula>0</formula>
    </cfRule>
  </conditionalFormatting>
  <conditionalFormatting sqref="F517">
    <cfRule type="cellIs" dxfId="5" priority="874" operator="lessThan">
      <formula>-4100</formula>
    </cfRule>
  </conditionalFormatting>
  <conditionalFormatting sqref="F517">
    <cfRule type="cellIs" dxfId="4" priority="875" operator="greaterThanOrEqual">
      <formula>0</formula>
    </cfRule>
  </conditionalFormatting>
  <conditionalFormatting sqref="F517">
    <cfRule type="cellIs" dxfId="5" priority="876" operator="lessThan">
      <formula>-4100</formula>
    </cfRule>
  </conditionalFormatting>
  <conditionalFormatting sqref="F517">
    <cfRule type="cellIs" dxfId="5" priority="877" operator="lessThan">
      <formula>-4100</formula>
    </cfRule>
  </conditionalFormatting>
  <conditionalFormatting sqref="F517">
    <cfRule type="cellIs" dxfId="4" priority="878" operator="greaterThanOrEqual">
      <formula>0</formula>
    </cfRule>
  </conditionalFormatting>
  <conditionalFormatting sqref="F517">
    <cfRule type="cellIs" dxfId="4" priority="879" operator="greaterThanOrEqual">
      <formula>0</formula>
    </cfRule>
  </conditionalFormatting>
  <conditionalFormatting sqref="F517">
    <cfRule type="cellIs" dxfId="5" priority="880" operator="lessThan">
      <formula>-4100</formula>
    </cfRule>
  </conditionalFormatting>
  <conditionalFormatting sqref="F517">
    <cfRule type="cellIs" dxfId="4" priority="881" operator="greaterThanOrEqual">
      <formula>0</formula>
    </cfRule>
  </conditionalFormatting>
  <conditionalFormatting sqref="F517">
    <cfRule type="cellIs" dxfId="5" priority="882" operator="lessThan">
      <formula>-4100</formula>
    </cfRule>
  </conditionalFormatting>
  <conditionalFormatting sqref="E513:E517">
    <cfRule type="cellIs" dxfId="6" priority="883" operator="greaterThan">
      <formula>0</formula>
    </cfRule>
  </conditionalFormatting>
  <conditionalFormatting sqref="F517">
    <cfRule type="cellIs" dxfId="4" priority="884" operator="greaterThanOrEqual">
      <formula>0</formula>
    </cfRule>
  </conditionalFormatting>
  <conditionalFormatting sqref="F517">
    <cfRule type="cellIs" dxfId="5" priority="885" operator="lessThan">
      <formula>-4100</formula>
    </cfRule>
  </conditionalFormatting>
  <conditionalFormatting sqref="F517">
    <cfRule type="cellIs" dxfId="4" priority="886" operator="greaterThanOrEqual">
      <formula>0</formula>
    </cfRule>
  </conditionalFormatting>
  <conditionalFormatting sqref="F517">
    <cfRule type="cellIs" dxfId="5" priority="887" operator="lessThan">
      <formula>-4100</formula>
    </cfRule>
  </conditionalFormatting>
  <conditionalFormatting sqref="F447">
    <cfRule type="cellIs" dxfId="5" priority="888" operator="lessThan">
      <formula>-4100</formula>
    </cfRule>
  </conditionalFormatting>
  <conditionalFormatting sqref="F447">
    <cfRule type="cellIs" dxfId="4" priority="889" operator="greaterThanOrEqual">
      <formula>0</formula>
    </cfRule>
  </conditionalFormatting>
  <conditionalFormatting sqref="F447">
    <cfRule type="cellIs" dxfId="4" priority="890" operator="greaterThanOrEqual">
      <formula>0</formula>
    </cfRule>
  </conditionalFormatting>
  <conditionalFormatting sqref="F447">
    <cfRule type="cellIs" dxfId="5" priority="891" operator="lessThan">
      <formula>-4100</formula>
    </cfRule>
  </conditionalFormatting>
  <conditionalFormatting sqref="F447">
    <cfRule type="cellIs" dxfId="4" priority="892" operator="greaterThanOrEqual">
      <formula>0</formula>
    </cfRule>
  </conditionalFormatting>
  <conditionalFormatting sqref="F447">
    <cfRule type="cellIs" dxfId="5" priority="893" operator="lessThan">
      <formula>-4100</formula>
    </cfRule>
  </conditionalFormatting>
  <conditionalFormatting sqref="F447">
    <cfRule type="cellIs" dxfId="4" priority="894" operator="greaterThanOrEqual">
      <formula>0</formula>
    </cfRule>
  </conditionalFormatting>
  <conditionalFormatting sqref="F447">
    <cfRule type="cellIs" dxfId="5" priority="895" operator="lessThan">
      <formula>-4100</formula>
    </cfRule>
  </conditionalFormatting>
  <conditionalFormatting sqref="F447">
    <cfRule type="cellIs" dxfId="4" priority="896" operator="greaterThanOrEqual">
      <formula>0</formula>
    </cfRule>
  </conditionalFormatting>
  <conditionalFormatting sqref="F447">
    <cfRule type="cellIs" dxfId="5" priority="897" operator="lessThan">
      <formula>-4100</formula>
    </cfRule>
  </conditionalFormatting>
  <conditionalFormatting sqref="F447">
    <cfRule type="cellIs" dxfId="5" priority="898" operator="lessThan">
      <formula>-4100</formula>
    </cfRule>
  </conditionalFormatting>
  <conditionalFormatting sqref="F447">
    <cfRule type="cellIs" dxfId="4" priority="899" operator="greaterThanOrEqual">
      <formula>0</formula>
    </cfRule>
  </conditionalFormatting>
  <conditionalFormatting sqref="F447">
    <cfRule type="cellIs" dxfId="4" priority="900" operator="greaterThanOrEqual">
      <formula>0</formula>
    </cfRule>
  </conditionalFormatting>
  <conditionalFormatting sqref="F447">
    <cfRule type="cellIs" dxfId="5" priority="901" operator="lessThan">
      <formula>-4100</formula>
    </cfRule>
  </conditionalFormatting>
  <conditionalFormatting sqref="F447">
    <cfRule type="cellIs" dxfId="4" priority="902" operator="greaterThanOrEqual">
      <formula>0</formula>
    </cfRule>
  </conditionalFormatting>
  <conditionalFormatting sqref="F447">
    <cfRule type="cellIs" dxfId="5" priority="903" operator="lessThan">
      <formula>-4100</formula>
    </cfRule>
  </conditionalFormatting>
  <conditionalFormatting sqref="E447">
    <cfRule type="cellIs" dxfId="6" priority="904" operator="greaterThan">
      <formula>0</formula>
    </cfRule>
  </conditionalFormatting>
  <conditionalFormatting sqref="F295">
    <cfRule type="cellIs" dxfId="5" priority="905" operator="lessThan">
      <formula>-4100</formula>
    </cfRule>
  </conditionalFormatting>
  <conditionalFormatting sqref="F295">
    <cfRule type="cellIs" dxfId="4" priority="906" operator="greaterThanOrEqual">
      <formula>0</formula>
    </cfRule>
  </conditionalFormatting>
  <conditionalFormatting sqref="F295">
    <cfRule type="cellIs" dxfId="4" priority="907" operator="greaterThanOrEqual">
      <formula>0</formula>
    </cfRule>
  </conditionalFormatting>
  <conditionalFormatting sqref="F295">
    <cfRule type="cellIs" dxfId="5" priority="908" operator="lessThan">
      <formula>-4100</formula>
    </cfRule>
  </conditionalFormatting>
  <conditionalFormatting sqref="F295">
    <cfRule type="cellIs" dxfId="4" priority="909" operator="greaterThanOrEqual">
      <formula>0</formula>
    </cfRule>
  </conditionalFormatting>
  <conditionalFormatting sqref="F295">
    <cfRule type="cellIs" dxfId="5" priority="910" operator="lessThan">
      <formula>-4100</formula>
    </cfRule>
  </conditionalFormatting>
  <conditionalFormatting sqref="F295">
    <cfRule type="cellIs" dxfId="4" priority="911" operator="greaterThanOrEqual">
      <formula>0</formula>
    </cfRule>
  </conditionalFormatting>
  <conditionalFormatting sqref="F295">
    <cfRule type="cellIs" dxfId="5" priority="912" operator="lessThan">
      <formula>-4100</formula>
    </cfRule>
  </conditionalFormatting>
  <conditionalFormatting sqref="F295">
    <cfRule type="cellIs" dxfId="4" priority="913" operator="greaterThanOrEqual">
      <formula>0</formula>
    </cfRule>
  </conditionalFormatting>
  <conditionalFormatting sqref="F295">
    <cfRule type="cellIs" dxfId="5" priority="914" operator="lessThan">
      <formula>-4100</formula>
    </cfRule>
  </conditionalFormatting>
  <conditionalFormatting sqref="F295">
    <cfRule type="cellIs" dxfId="5" priority="915" operator="lessThan">
      <formula>-4100</formula>
    </cfRule>
  </conditionalFormatting>
  <conditionalFormatting sqref="F295">
    <cfRule type="cellIs" dxfId="4" priority="916" operator="greaterThanOrEqual">
      <formula>0</formula>
    </cfRule>
  </conditionalFormatting>
  <conditionalFormatting sqref="F295">
    <cfRule type="cellIs" dxfId="4" priority="917" operator="greaterThanOrEqual">
      <formula>0</formula>
    </cfRule>
  </conditionalFormatting>
  <conditionalFormatting sqref="F295">
    <cfRule type="cellIs" dxfId="5" priority="918" operator="lessThan">
      <formula>-4100</formula>
    </cfRule>
  </conditionalFormatting>
  <conditionalFormatting sqref="F295">
    <cfRule type="cellIs" dxfId="4" priority="919" operator="greaterThanOrEqual">
      <formula>0</formula>
    </cfRule>
  </conditionalFormatting>
  <conditionalFormatting sqref="F295">
    <cfRule type="cellIs" dxfId="5" priority="920" operator="lessThan">
      <formula>-4100</formula>
    </cfRule>
  </conditionalFormatting>
  <conditionalFormatting sqref="E295">
    <cfRule type="cellIs" dxfId="6" priority="921" operator="greaterThan">
      <formula>0</formula>
    </cfRule>
  </conditionalFormatting>
  <conditionalFormatting sqref="F48">
    <cfRule type="cellIs" dxfId="5" priority="922" operator="lessThan">
      <formula>-4100</formula>
    </cfRule>
  </conditionalFormatting>
  <conditionalFormatting sqref="F48">
    <cfRule type="cellIs" dxfId="4" priority="923" operator="greaterThanOrEqual">
      <formula>0</formula>
    </cfRule>
  </conditionalFormatting>
  <conditionalFormatting sqref="F48">
    <cfRule type="cellIs" dxfId="4" priority="924" operator="greaterThanOrEqual">
      <formula>0</formula>
    </cfRule>
  </conditionalFormatting>
  <conditionalFormatting sqref="F48">
    <cfRule type="cellIs" dxfId="5" priority="925" operator="lessThan">
      <formula>-4100</formula>
    </cfRule>
  </conditionalFormatting>
  <conditionalFormatting sqref="F48">
    <cfRule type="cellIs" dxfId="4" priority="926" operator="greaterThanOrEqual">
      <formula>0</formula>
    </cfRule>
  </conditionalFormatting>
  <conditionalFormatting sqref="F48">
    <cfRule type="cellIs" dxfId="5" priority="927" operator="lessThan">
      <formula>-4100</formula>
    </cfRule>
  </conditionalFormatting>
  <conditionalFormatting sqref="F48">
    <cfRule type="cellIs" dxfId="4" priority="928" operator="greaterThanOrEqual">
      <formula>0</formula>
    </cfRule>
  </conditionalFormatting>
  <conditionalFormatting sqref="F48">
    <cfRule type="cellIs" dxfId="5" priority="929" operator="lessThan">
      <formula>-4100</formula>
    </cfRule>
  </conditionalFormatting>
  <conditionalFormatting sqref="F48">
    <cfRule type="cellIs" dxfId="4" priority="930" operator="greaterThanOrEqual">
      <formula>0</formula>
    </cfRule>
  </conditionalFormatting>
  <conditionalFormatting sqref="F48">
    <cfRule type="cellIs" dxfId="5" priority="931" operator="lessThan">
      <formula>-4100</formula>
    </cfRule>
  </conditionalFormatting>
  <conditionalFormatting sqref="F48">
    <cfRule type="cellIs" dxfId="5" priority="932" operator="lessThan">
      <formula>-4100</formula>
    </cfRule>
  </conditionalFormatting>
  <conditionalFormatting sqref="F48">
    <cfRule type="cellIs" dxfId="4" priority="933" operator="greaterThanOrEqual">
      <formula>0</formula>
    </cfRule>
  </conditionalFormatting>
  <conditionalFormatting sqref="F48">
    <cfRule type="cellIs" dxfId="4" priority="934" operator="greaterThanOrEqual">
      <formula>0</formula>
    </cfRule>
  </conditionalFormatting>
  <conditionalFormatting sqref="F48">
    <cfRule type="cellIs" dxfId="5" priority="935" operator="lessThan">
      <formula>-4100</formula>
    </cfRule>
  </conditionalFormatting>
  <conditionalFormatting sqref="F48">
    <cfRule type="cellIs" dxfId="4" priority="936" operator="greaterThanOrEqual">
      <formula>0</formula>
    </cfRule>
  </conditionalFormatting>
  <conditionalFormatting sqref="F48">
    <cfRule type="cellIs" dxfId="5" priority="937" operator="lessThan">
      <formula>-4100</formula>
    </cfRule>
  </conditionalFormatting>
  <conditionalFormatting sqref="E48">
    <cfRule type="cellIs" dxfId="6" priority="938" operator="greaterThan">
      <formula>0</formula>
    </cfRule>
  </conditionalFormatting>
  <conditionalFormatting sqref="F572">
    <cfRule type="cellIs" dxfId="5" priority="939" operator="lessThan">
      <formula>-4100</formula>
    </cfRule>
  </conditionalFormatting>
  <conditionalFormatting sqref="F572">
    <cfRule type="cellIs" dxfId="4" priority="940" operator="greaterThanOrEqual">
      <formula>0</formula>
    </cfRule>
  </conditionalFormatting>
  <conditionalFormatting sqref="F572">
    <cfRule type="cellIs" dxfId="4" priority="941" operator="greaterThanOrEqual">
      <formula>0</formula>
    </cfRule>
  </conditionalFormatting>
  <conditionalFormatting sqref="F572">
    <cfRule type="cellIs" dxfId="5" priority="942" operator="lessThan">
      <formula>-4100</formula>
    </cfRule>
  </conditionalFormatting>
  <conditionalFormatting sqref="F572">
    <cfRule type="cellIs" dxfId="4" priority="943" operator="greaterThanOrEqual">
      <formula>0</formula>
    </cfRule>
  </conditionalFormatting>
  <conditionalFormatting sqref="F572">
    <cfRule type="cellIs" dxfId="5" priority="944" operator="lessThan">
      <formula>-4100</formula>
    </cfRule>
  </conditionalFormatting>
  <conditionalFormatting sqref="F572">
    <cfRule type="cellIs" dxfId="4" priority="945" operator="greaterThanOrEqual">
      <formula>0</formula>
    </cfRule>
  </conditionalFormatting>
  <conditionalFormatting sqref="F572">
    <cfRule type="cellIs" dxfId="5" priority="946" operator="lessThan">
      <formula>-4100</formula>
    </cfRule>
  </conditionalFormatting>
  <conditionalFormatting sqref="F572">
    <cfRule type="cellIs" dxfId="4" priority="947" operator="greaterThanOrEqual">
      <formula>0</formula>
    </cfRule>
  </conditionalFormatting>
  <conditionalFormatting sqref="F572">
    <cfRule type="cellIs" dxfId="5" priority="948" operator="lessThan">
      <formula>-4100</formula>
    </cfRule>
  </conditionalFormatting>
  <conditionalFormatting sqref="F572">
    <cfRule type="cellIs" dxfId="5" priority="949" operator="lessThan">
      <formula>-4100</formula>
    </cfRule>
  </conditionalFormatting>
  <conditionalFormatting sqref="F572">
    <cfRule type="cellIs" dxfId="4" priority="950" operator="greaterThanOrEqual">
      <formula>0</formula>
    </cfRule>
  </conditionalFormatting>
  <conditionalFormatting sqref="F572">
    <cfRule type="cellIs" dxfId="4" priority="951" operator="greaterThanOrEqual">
      <formula>0</formula>
    </cfRule>
  </conditionalFormatting>
  <conditionalFormatting sqref="F572">
    <cfRule type="cellIs" dxfId="5" priority="952" operator="lessThan">
      <formula>-4100</formula>
    </cfRule>
  </conditionalFormatting>
  <conditionalFormatting sqref="F572">
    <cfRule type="cellIs" dxfId="4" priority="953" operator="greaterThanOrEqual">
      <formula>0</formula>
    </cfRule>
  </conditionalFormatting>
  <conditionalFormatting sqref="F572">
    <cfRule type="cellIs" dxfId="5" priority="954" operator="lessThan">
      <formula>-4100</formula>
    </cfRule>
  </conditionalFormatting>
  <conditionalFormatting sqref="E572">
    <cfRule type="cellIs" dxfId="6" priority="955" operator="greaterThan">
      <formula>0</formula>
    </cfRule>
  </conditionalFormatting>
  <conditionalFormatting sqref="F577">
    <cfRule type="cellIs" dxfId="5" priority="956" operator="lessThan">
      <formula>-4100</formula>
    </cfRule>
  </conditionalFormatting>
  <conditionalFormatting sqref="F577">
    <cfRule type="cellIs" dxfId="4" priority="957" operator="greaterThanOrEqual">
      <formula>0</formula>
    </cfRule>
  </conditionalFormatting>
  <conditionalFormatting sqref="F577">
    <cfRule type="cellIs" dxfId="4" priority="958" operator="greaterThanOrEqual">
      <formula>0</formula>
    </cfRule>
  </conditionalFormatting>
  <conditionalFormatting sqref="F577">
    <cfRule type="cellIs" dxfId="5" priority="959" operator="lessThan">
      <formula>-4100</formula>
    </cfRule>
  </conditionalFormatting>
  <conditionalFormatting sqref="F577">
    <cfRule type="cellIs" dxfId="4" priority="960" operator="greaterThanOrEqual">
      <formula>0</formula>
    </cfRule>
  </conditionalFormatting>
  <conditionalFormatting sqref="F577">
    <cfRule type="cellIs" dxfId="5" priority="961" operator="lessThan">
      <formula>-4100</formula>
    </cfRule>
  </conditionalFormatting>
  <conditionalFormatting sqref="F577">
    <cfRule type="cellIs" dxfId="4" priority="962" operator="greaterThanOrEqual">
      <formula>0</formula>
    </cfRule>
  </conditionalFormatting>
  <conditionalFormatting sqref="F577">
    <cfRule type="cellIs" dxfId="5" priority="963" operator="lessThan">
      <formula>-4100</formula>
    </cfRule>
  </conditionalFormatting>
  <conditionalFormatting sqref="F577">
    <cfRule type="cellIs" dxfId="4" priority="964" operator="greaterThanOrEqual">
      <formula>0</formula>
    </cfRule>
  </conditionalFormatting>
  <conditionalFormatting sqref="F577">
    <cfRule type="cellIs" dxfId="5" priority="965" operator="lessThan">
      <formula>-4100</formula>
    </cfRule>
  </conditionalFormatting>
  <conditionalFormatting sqref="F577">
    <cfRule type="cellIs" dxfId="5" priority="966" operator="lessThan">
      <formula>-4100</formula>
    </cfRule>
  </conditionalFormatting>
  <conditionalFormatting sqref="F577">
    <cfRule type="cellIs" dxfId="4" priority="967" operator="greaterThanOrEqual">
      <formula>0</formula>
    </cfRule>
  </conditionalFormatting>
  <conditionalFormatting sqref="F577">
    <cfRule type="cellIs" dxfId="4" priority="968" operator="greaterThanOrEqual">
      <formula>0</formula>
    </cfRule>
  </conditionalFormatting>
  <conditionalFormatting sqref="F577">
    <cfRule type="cellIs" dxfId="5" priority="969" operator="lessThan">
      <formula>-4100</formula>
    </cfRule>
  </conditionalFormatting>
  <conditionalFormatting sqref="F577">
    <cfRule type="cellIs" dxfId="4" priority="970" operator="greaterThanOrEqual">
      <formula>0</formula>
    </cfRule>
  </conditionalFormatting>
  <conditionalFormatting sqref="F577">
    <cfRule type="cellIs" dxfId="5" priority="971" operator="lessThan">
      <formula>-4100</formula>
    </cfRule>
  </conditionalFormatting>
  <conditionalFormatting sqref="E577">
    <cfRule type="cellIs" dxfId="6" priority="972" operator="greaterThan">
      <formula>0</formula>
    </cfRule>
  </conditionalFormatting>
  <conditionalFormatting sqref="F527">
    <cfRule type="cellIs" dxfId="5" priority="973" operator="lessThan">
      <formula>-4100</formula>
    </cfRule>
  </conditionalFormatting>
  <conditionalFormatting sqref="F527">
    <cfRule type="cellIs" dxfId="4" priority="974" operator="greaterThanOrEqual">
      <formula>0</formula>
    </cfRule>
  </conditionalFormatting>
  <conditionalFormatting sqref="F527">
    <cfRule type="cellIs" dxfId="4" priority="975" operator="greaterThanOrEqual">
      <formula>0</formula>
    </cfRule>
  </conditionalFormatting>
  <conditionalFormatting sqref="F527">
    <cfRule type="cellIs" dxfId="5" priority="976" operator="lessThan">
      <formula>-4100</formula>
    </cfRule>
  </conditionalFormatting>
  <conditionalFormatting sqref="F527">
    <cfRule type="cellIs" dxfId="4" priority="977" operator="greaterThanOrEqual">
      <formula>0</formula>
    </cfRule>
  </conditionalFormatting>
  <conditionalFormatting sqref="F527">
    <cfRule type="cellIs" dxfId="5" priority="978" operator="lessThan">
      <formula>-4100</formula>
    </cfRule>
  </conditionalFormatting>
  <conditionalFormatting sqref="F527">
    <cfRule type="cellIs" dxfId="5" priority="979" operator="lessThan">
      <formula>-4100</formula>
    </cfRule>
  </conditionalFormatting>
  <conditionalFormatting sqref="F527">
    <cfRule type="cellIs" dxfId="4" priority="980" operator="greaterThanOrEqual">
      <formula>0</formula>
    </cfRule>
  </conditionalFormatting>
  <conditionalFormatting sqref="F527">
    <cfRule type="cellIs" dxfId="4" priority="981" operator="greaterThanOrEqual">
      <formula>0</formula>
    </cfRule>
  </conditionalFormatting>
  <conditionalFormatting sqref="F527">
    <cfRule type="cellIs" dxfId="5" priority="982" operator="lessThan">
      <formula>-4100</formula>
    </cfRule>
  </conditionalFormatting>
  <conditionalFormatting sqref="F527">
    <cfRule type="cellIs" dxfId="4" priority="983" operator="greaterThanOrEqual">
      <formula>0</formula>
    </cfRule>
  </conditionalFormatting>
  <conditionalFormatting sqref="F527">
    <cfRule type="cellIs" dxfId="5" priority="984" operator="lessThan">
      <formula>-4100</formula>
    </cfRule>
  </conditionalFormatting>
  <conditionalFormatting sqref="E523:E527">
    <cfRule type="cellIs" dxfId="6" priority="985" operator="greaterThan">
      <formula>0</formula>
    </cfRule>
  </conditionalFormatting>
  <conditionalFormatting sqref="F527">
    <cfRule type="cellIs" dxfId="4" priority="986" operator="greaterThanOrEqual">
      <formula>0</formula>
    </cfRule>
  </conditionalFormatting>
  <conditionalFormatting sqref="F527">
    <cfRule type="cellIs" dxfId="5" priority="987" operator="lessThan">
      <formula>-4100</formula>
    </cfRule>
  </conditionalFormatting>
  <conditionalFormatting sqref="F527">
    <cfRule type="cellIs" dxfId="4" priority="988" operator="greaterThanOrEqual">
      <formula>0</formula>
    </cfRule>
  </conditionalFormatting>
  <conditionalFormatting sqref="F527">
    <cfRule type="cellIs" dxfId="5" priority="989" operator="lessThan">
      <formula>-4100</formula>
    </cfRule>
  </conditionalFormatting>
  <conditionalFormatting sqref="F582">
    <cfRule type="cellIs" dxfId="5" priority="990" operator="lessThan">
      <formula>-4100</formula>
    </cfRule>
  </conditionalFormatting>
  <conditionalFormatting sqref="F582">
    <cfRule type="cellIs" dxfId="4" priority="991" operator="greaterThanOrEqual">
      <formula>0</formula>
    </cfRule>
  </conditionalFormatting>
  <conditionalFormatting sqref="F582">
    <cfRule type="cellIs" dxfId="4" priority="992" operator="greaterThanOrEqual">
      <formula>0</formula>
    </cfRule>
  </conditionalFormatting>
  <conditionalFormatting sqref="F582">
    <cfRule type="cellIs" dxfId="5" priority="993" operator="lessThan">
      <formula>-4100</formula>
    </cfRule>
  </conditionalFormatting>
  <conditionalFormatting sqref="F582">
    <cfRule type="cellIs" dxfId="4" priority="994" operator="greaterThanOrEqual">
      <formula>0</formula>
    </cfRule>
  </conditionalFormatting>
  <conditionalFormatting sqref="F582">
    <cfRule type="cellIs" dxfId="5" priority="995" operator="lessThan">
      <formula>-4100</formula>
    </cfRule>
  </conditionalFormatting>
  <conditionalFormatting sqref="F582">
    <cfRule type="cellIs" dxfId="4" priority="996" operator="greaterThanOrEqual">
      <formula>0</formula>
    </cfRule>
  </conditionalFormatting>
  <conditionalFormatting sqref="F582">
    <cfRule type="cellIs" dxfId="5" priority="997" operator="lessThan">
      <formula>-4100</formula>
    </cfRule>
  </conditionalFormatting>
  <conditionalFormatting sqref="F582">
    <cfRule type="cellIs" dxfId="4" priority="998" operator="greaterThanOrEqual">
      <formula>0</formula>
    </cfRule>
  </conditionalFormatting>
  <conditionalFormatting sqref="F582">
    <cfRule type="cellIs" dxfId="5" priority="999" operator="lessThan">
      <formula>-4100</formula>
    </cfRule>
  </conditionalFormatting>
  <conditionalFormatting sqref="F582">
    <cfRule type="cellIs" dxfId="5" priority="1000" operator="lessThan">
      <formula>-4100</formula>
    </cfRule>
  </conditionalFormatting>
  <conditionalFormatting sqref="F582">
    <cfRule type="cellIs" dxfId="4" priority="1001" operator="greaterThanOrEqual">
      <formula>0</formula>
    </cfRule>
  </conditionalFormatting>
  <conditionalFormatting sqref="F582">
    <cfRule type="cellIs" dxfId="4" priority="1002" operator="greaterThanOrEqual">
      <formula>0</formula>
    </cfRule>
  </conditionalFormatting>
  <conditionalFormatting sqref="F582">
    <cfRule type="cellIs" dxfId="5" priority="1003" operator="lessThan">
      <formula>-4100</formula>
    </cfRule>
  </conditionalFormatting>
  <conditionalFormatting sqref="F582">
    <cfRule type="cellIs" dxfId="4" priority="1004" operator="greaterThanOrEqual">
      <formula>0</formula>
    </cfRule>
  </conditionalFormatting>
  <conditionalFormatting sqref="F582">
    <cfRule type="cellIs" dxfId="5" priority="1005" operator="lessThan">
      <formula>-4100</formula>
    </cfRule>
  </conditionalFormatting>
  <conditionalFormatting sqref="E582">
    <cfRule type="cellIs" dxfId="6" priority="1006" operator="greaterThan">
      <formula>0</formula>
    </cfRule>
  </conditionalFormatting>
  <conditionalFormatting sqref="F587">
    <cfRule type="cellIs" dxfId="5" priority="1007" operator="lessThan">
      <formula>-4100</formula>
    </cfRule>
  </conditionalFormatting>
  <conditionalFormatting sqref="F587">
    <cfRule type="cellIs" dxfId="4" priority="1008" operator="greaterThanOrEqual">
      <formula>0</formula>
    </cfRule>
  </conditionalFormatting>
  <conditionalFormatting sqref="F587">
    <cfRule type="cellIs" dxfId="4" priority="1009" operator="greaterThanOrEqual">
      <formula>0</formula>
    </cfRule>
  </conditionalFormatting>
  <conditionalFormatting sqref="F587">
    <cfRule type="cellIs" dxfId="5" priority="1010" operator="lessThan">
      <formula>-4100</formula>
    </cfRule>
  </conditionalFormatting>
  <conditionalFormatting sqref="F587">
    <cfRule type="cellIs" dxfId="4" priority="1011" operator="greaterThanOrEqual">
      <formula>0</formula>
    </cfRule>
  </conditionalFormatting>
  <conditionalFormatting sqref="F587">
    <cfRule type="cellIs" dxfId="5" priority="1012" operator="lessThan">
      <formula>-4100</formula>
    </cfRule>
  </conditionalFormatting>
  <conditionalFormatting sqref="F587">
    <cfRule type="cellIs" dxfId="4" priority="1013" operator="greaterThanOrEqual">
      <formula>0</formula>
    </cfRule>
  </conditionalFormatting>
  <conditionalFormatting sqref="F587">
    <cfRule type="cellIs" dxfId="5" priority="1014" operator="lessThan">
      <formula>-4100</formula>
    </cfRule>
  </conditionalFormatting>
  <conditionalFormatting sqref="F587">
    <cfRule type="cellIs" dxfId="4" priority="1015" operator="greaterThanOrEqual">
      <formula>0</formula>
    </cfRule>
  </conditionalFormatting>
  <conditionalFormatting sqref="F587">
    <cfRule type="cellIs" dxfId="5" priority="1016" operator="lessThan">
      <formula>-4100</formula>
    </cfRule>
  </conditionalFormatting>
  <conditionalFormatting sqref="F587">
    <cfRule type="cellIs" dxfId="5" priority="1017" operator="lessThan">
      <formula>-4100</formula>
    </cfRule>
  </conditionalFormatting>
  <conditionalFormatting sqref="F587">
    <cfRule type="cellIs" dxfId="4" priority="1018" operator="greaterThanOrEqual">
      <formula>0</formula>
    </cfRule>
  </conditionalFormatting>
  <conditionalFormatting sqref="F587">
    <cfRule type="cellIs" dxfId="4" priority="1019" operator="greaterThanOrEqual">
      <formula>0</formula>
    </cfRule>
  </conditionalFormatting>
  <conditionalFormatting sqref="F587">
    <cfRule type="cellIs" dxfId="5" priority="1020" operator="lessThan">
      <formula>-4100</formula>
    </cfRule>
  </conditionalFormatting>
  <conditionalFormatting sqref="F587">
    <cfRule type="cellIs" dxfId="4" priority="1021" operator="greaterThanOrEqual">
      <formula>0</formula>
    </cfRule>
  </conditionalFormatting>
  <conditionalFormatting sqref="F587">
    <cfRule type="cellIs" dxfId="5" priority="1022" operator="lessThan">
      <formula>-4100</formula>
    </cfRule>
  </conditionalFormatting>
  <conditionalFormatting sqref="E587">
    <cfRule type="cellIs" dxfId="6" priority="1023" operator="greaterThan">
      <formula>0</formula>
    </cfRule>
  </conditionalFormatting>
  <conditionalFormatting sqref="F507">
    <cfRule type="cellIs" dxfId="5" priority="1024" operator="lessThan">
      <formula>-4100</formula>
    </cfRule>
  </conditionalFormatting>
  <conditionalFormatting sqref="F507">
    <cfRule type="cellIs" dxfId="4" priority="1025" operator="greaterThanOrEqual">
      <formula>0</formula>
    </cfRule>
  </conditionalFormatting>
  <conditionalFormatting sqref="F507">
    <cfRule type="cellIs" dxfId="4" priority="1026" operator="greaterThanOrEqual">
      <formula>0</formula>
    </cfRule>
  </conditionalFormatting>
  <conditionalFormatting sqref="F507">
    <cfRule type="cellIs" dxfId="5" priority="1027" operator="lessThan">
      <formula>-4100</formula>
    </cfRule>
  </conditionalFormatting>
  <conditionalFormatting sqref="F507">
    <cfRule type="cellIs" dxfId="4" priority="1028" operator="greaterThanOrEqual">
      <formula>0</formula>
    </cfRule>
  </conditionalFormatting>
  <conditionalFormatting sqref="F507">
    <cfRule type="cellIs" dxfId="5" priority="1029" operator="lessThan">
      <formula>-4100</formula>
    </cfRule>
  </conditionalFormatting>
  <conditionalFormatting sqref="F507">
    <cfRule type="cellIs" dxfId="4" priority="1030" operator="greaterThanOrEqual">
      <formula>0</formula>
    </cfRule>
  </conditionalFormatting>
  <conditionalFormatting sqref="F507">
    <cfRule type="cellIs" dxfId="5" priority="1031" operator="lessThan">
      <formula>-4100</formula>
    </cfRule>
  </conditionalFormatting>
  <conditionalFormatting sqref="F507">
    <cfRule type="cellIs" dxfId="4" priority="1032" operator="greaterThanOrEqual">
      <formula>0</formula>
    </cfRule>
  </conditionalFormatting>
  <conditionalFormatting sqref="F507">
    <cfRule type="cellIs" dxfId="5" priority="1033" operator="lessThan">
      <formula>-4100</formula>
    </cfRule>
  </conditionalFormatting>
  <conditionalFormatting sqref="F507">
    <cfRule type="cellIs" dxfId="5" priority="1034" operator="lessThan">
      <formula>-4100</formula>
    </cfRule>
  </conditionalFormatting>
  <conditionalFormatting sqref="F507">
    <cfRule type="cellIs" dxfId="4" priority="1035" operator="greaterThanOrEqual">
      <formula>0</formula>
    </cfRule>
  </conditionalFormatting>
  <conditionalFormatting sqref="F507">
    <cfRule type="cellIs" dxfId="4" priority="1036" operator="greaterThanOrEqual">
      <formula>0</formula>
    </cfRule>
  </conditionalFormatting>
  <conditionalFormatting sqref="F507">
    <cfRule type="cellIs" dxfId="5" priority="1037" operator="lessThan">
      <formula>-4100</formula>
    </cfRule>
  </conditionalFormatting>
  <conditionalFormatting sqref="F507">
    <cfRule type="cellIs" dxfId="4" priority="1038" operator="greaterThanOrEqual">
      <formula>0</formula>
    </cfRule>
  </conditionalFormatting>
  <conditionalFormatting sqref="F507">
    <cfRule type="cellIs" dxfId="5" priority="1039" operator="lessThan">
      <formula>-4100</formula>
    </cfRule>
  </conditionalFormatting>
  <conditionalFormatting sqref="E507">
    <cfRule type="cellIs" dxfId="6" priority="1040" operator="greaterThan">
      <formula>0</formula>
    </cfRule>
  </conditionalFormatting>
  <conditionalFormatting sqref="F179">
    <cfRule type="cellIs" dxfId="5" priority="1041" operator="lessThan">
      <formula>-4100</formula>
    </cfRule>
  </conditionalFormatting>
  <conditionalFormatting sqref="F179">
    <cfRule type="cellIs" dxfId="4" priority="1042" operator="greaterThanOrEqual">
      <formula>0</formula>
    </cfRule>
  </conditionalFormatting>
  <conditionalFormatting sqref="F179">
    <cfRule type="cellIs" dxfId="4" priority="1043" operator="greaterThanOrEqual">
      <formula>0</formula>
    </cfRule>
  </conditionalFormatting>
  <conditionalFormatting sqref="F179">
    <cfRule type="cellIs" dxfId="5" priority="1044" operator="lessThan">
      <formula>-4100</formula>
    </cfRule>
  </conditionalFormatting>
  <conditionalFormatting sqref="F179">
    <cfRule type="cellIs" dxfId="4" priority="1045" operator="greaterThanOrEqual">
      <formula>0</formula>
    </cfRule>
  </conditionalFormatting>
  <conditionalFormatting sqref="F179">
    <cfRule type="cellIs" dxfId="5" priority="1046" operator="lessThan">
      <formula>-4100</formula>
    </cfRule>
  </conditionalFormatting>
  <conditionalFormatting sqref="F179">
    <cfRule type="cellIs" dxfId="4" priority="1047" operator="greaterThanOrEqual">
      <formula>0</formula>
    </cfRule>
  </conditionalFormatting>
  <conditionalFormatting sqref="F179">
    <cfRule type="cellIs" dxfId="5" priority="1048" operator="lessThan">
      <formula>-4100</formula>
    </cfRule>
  </conditionalFormatting>
  <conditionalFormatting sqref="F179">
    <cfRule type="cellIs" dxfId="4" priority="1049" operator="greaterThanOrEqual">
      <formula>0</formula>
    </cfRule>
  </conditionalFormatting>
  <conditionalFormatting sqref="F179">
    <cfRule type="cellIs" dxfId="5" priority="1050" operator="lessThan">
      <formula>-4100</formula>
    </cfRule>
  </conditionalFormatting>
  <conditionalFormatting sqref="F179">
    <cfRule type="cellIs" dxfId="5" priority="1051" operator="lessThan">
      <formula>-4100</formula>
    </cfRule>
  </conditionalFormatting>
  <conditionalFormatting sqref="F179">
    <cfRule type="cellIs" dxfId="4" priority="1052" operator="greaterThanOrEqual">
      <formula>0</formula>
    </cfRule>
  </conditionalFormatting>
  <conditionalFormatting sqref="F179">
    <cfRule type="cellIs" dxfId="4" priority="1053" operator="greaterThanOrEqual">
      <formula>0</formula>
    </cfRule>
  </conditionalFormatting>
  <conditionalFormatting sqref="F179">
    <cfRule type="cellIs" dxfId="5" priority="1054" operator="lessThan">
      <formula>-4100</formula>
    </cfRule>
  </conditionalFormatting>
  <conditionalFormatting sqref="F179">
    <cfRule type="cellIs" dxfId="4" priority="1055" operator="greaterThanOrEqual">
      <formula>0</formula>
    </cfRule>
  </conditionalFormatting>
  <conditionalFormatting sqref="F179">
    <cfRule type="cellIs" dxfId="5" priority="1056" operator="lessThan">
      <formula>-4100</formula>
    </cfRule>
  </conditionalFormatting>
  <conditionalFormatting sqref="E179">
    <cfRule type="cellIs" dxfId="6" priority="1057" operator="greaterThan">
      <formula>0</formula>
    </cfRule>
  </conditionalFormatting>
  <conditionalFormatting sqref="F557">
    <cfRule type="cellIs" dxfId="4" priority="1058" operator="greaterThanOrEqual">
      <formula>0</formula>
    </cfRule>
  </conditionalFormatting>
  <conditionalFormatting sqref="F557">
    <cfRule type="cellIs" dxfId="5" priority="1059" operator="lessThan">
      <formula>-4100</formula>
    </cfRule>
  </conditionalFormatting>
  <conditionalFormatting sqref="F557">
    <cfRule type="cellIs" dxfId="4" priority="1060" operator="greaterThanOrEqual">
      <formula>0</formula>
    </cfRule>
  </conditionalFormatting>
  <conditionalFormatting sqref="F557">
    <cfRule type="cellIs" dxfId="5" priority="1061" operator="lessThan">
      <formula>-4100</formula>
    </cfRule>
  </conditionalFormatting>
  <conditionalFormatting sqref="E557">
    <cfRule type="cellIs" dxfId="6" priority="1062" operator="greaterThan">
      <formula>0</formula>
    </cfRule>
  </conditionalFormatting>
  <conditionalFormatting sqref="F557">
    <cfRule type="cellIs" dxfId="4" priority="1063" operator="greaterThanOrEqual">
      <formula>0</formula>
    </cfRule>
  </conditionalFormatting>
  <conditionalFormatting sqref="F557">
    <cfRule type="cellIs" dxfId="5" priority="1064" operator="lessThan">
      <formula>-4100</formula>
    </cfRule>
  </conditionalFormatting>
  <conditionalFormatting sqref="F557">
    <cfRule type="cellIs" dxfId="4" priority="1065" operator="greaterThanOrEqual">
      <formula>0</formula>
    </cfRule>
  </conditionalFormatting>
  <conditionalFormatting sqref="F557">
    <cfRule type="cellIs" dxfId="5" priority="1066" operator="lessThan">
      <formula>-4100</formula>
    </cfRule>
  </conditionalFormatting>
  <conditionalFormatting sqref="F557">
    <cfRule type="cellIs" dxfId="4" priority="1067" operator="greaterThanOrEqual">
      <formula>0</formula>
    </cfRule>
  </conditionalFormatting>
  <conditionalFormatting sqref="F557">
    <cfRule type="cellIs" dxfId="5" priority="1068" operator="lessThan">
      <formula>-4100</formula>
    </cfRule>
  </conditionalFormatting>
  <conditionalFormatting sqref="F557">
    <cfRule type="cellIs" dxfId="4" priority="1069" operator="greaterThanOrEqual">
      <formula>0</formula>
    </cfRule>
  </conditionalFormatting>
  <conditionalFormatting sqref="F557">
    <cfRule type="cellIs" dxfId="5" priority="1070" operator="lessThan">
      <formula>-4100</formula>
    </cfRule>
  </conditionalFormatting>
  <conditionalFormatting sqref="F557">
    <cfRule type="cellIs" dxfId="4" priority="1071" operator="greaterThanOrEqual">
      <formula>0</formula>
    </cfRule>
  </conditionalFormatting>
  <conditionalFormatting sqref="F557">
    <cfRule type="cellIs" dxfId="5" priority="1072" operator="lessThan">
      <formula>-4100</formula>
    </cfRule>
  </conditionalFormatting>
  <conditionalFormatting sqref="F557">
    <cfRule type="cellIs" dxfId="4" priority="1073" operator="greaterThanOrEqual">
      <formula>0</formula>
    </cfRule>
  </conditionalFormatting>
  <conditionalFormatting sqref="F557">
    <cfRule type="cellIs" dxfId="5" priority="1074" operator="lessThan">
      <formula>-4100</formula>
    </cfRule>
  </conditionalFormatting>
  <conditionalFormatting sqref="F397">
    <cfRule type="cellIs" dxfId="5" priority="1075" operator="lessThan">
      <formula>-4100</formula>
    </cfRule>
  </conditionalFormatting>
  <conditionalFormatting sqref="F397">
    <cfRule type="cellIs" dxfId="4" priority="1076" operator="greaterThanOrEqual">
      <formula>0</formula>
    </cfRule>
  </conditionalFormatting>
  <conditionalFormatting sqref="F397">
    <cfRule type="cellIs" dxfId="4" priority="1077" operator="greaterThanOrEqual">
      <formula>0</formula>
    </cfRule>
  </conditionalFormatting>
  <conditionalFormatting sqref="F397">
    <cfRule type="cellIs" dxfId="5" priority="1078" operator="lessThan">
      <formula>-4100</formula>
    </cfRule>
  </conditionalFormatting>
  <conditionalFormatting sqref="F397">
    <cfRule type="cellIs" dxfId="4" priority="1079" operator="greaterThanOrEqual">
      <formula>0</formula>
    </cfRule>
  </conditionalFormatting>
  <conditionalFormatting sqref="F397">
    <cfRule type="cellIs" dxfId="5" priority="1080" operator="lessThan">
      <formula>-4100</formula>
    </cfRule>
  </conditionalFormatting>
  <conditionalFormatting sqref="F397">
    <cfRule type="cellIs" dxfId="4" priority="1081" operator="greaterThanOrEqual">
      <formula>0</formula>
    </cfRule>
  </conditionalFormatting>
  <conditionalFormatting sqref="F397">
    <cfRule type="cellIs" dxfId="5" priority="1082" operator="lessThan">
      <formula>-4100</formula>
    </cfRule>
  </conditionalFormatting>
  <conditionalFormatting sqref="F397">
    <cfRule type="cellIs" dxfId="4" priority="1083" operator="greaterThanOrEqual">
      <formula>0</formula>
    </cfRule>
  </conditionalFormatting>
  <conditionalFormatting sqref="F397">
    <cfRule type="cellIs" dxfId="5" priority="1084" operator="lessThan">
      <formula>-4100</formula>
    </cfRule>
  </conditionalFormatting>
  <conditionalFormatting sqref="F397">
    <cfRule type="cellIs" dxfId="5" priority="1085" operator="lessThan">
      <formula>-4100</formula>
    </cfRule>
  </conditionalFormatting>
  <conditionalFormatting sqref="F397">
    <cfRule type="cellIs" dxfId="4" priority="1086" operator="greaterThanOrEqual">
      <formula>0</formula>
    </cfRule>
  </conditionalFormatting>
  <conditionalFormatting sqref="F397">
    <cfRule type="cellIs" dxfId="4" priority="1087" operator="greaterThanOrEqual">
      <formula>0</formula>
    </cfRule>
  </conditionalFormatting>
  <conditionalFormatting sqref="F397">
    <cfRule type="cellIs" dxfId="5" priority="1088" operator="lessThan">
      <formula>-4100</formula>
    </cfRule>
  </conditionalFormatting>
  <conditionalFormatting sqref="F397">
    <cfRule type="cellIs" dxfId="4" priority="1089" operator="greaterThanOrEqual">
      <formula>0</formula>
    </cfRule>
  </conditionalFormatting>
  <conditionalFormatting sqref="F397">
    <cfRule type="cellIs" dxfId="5" priority="1090" operator="lessThan">
      <formula>-4100</formula>
    </cfRule>
  </conditionalFormatting>
  <conditionalFormatting sqref="E397">
    <cfRule type="cellIs" dxfId="6" priority="1091" operator="greaterThan">
      <formula>0</formula>
    </cfRule>
  </conditionalFormatting>
  <conditionalFormatting sqref="F693">
    <cfRule type="cellIs" dxfId="5" priority="1092" operator="lessThan">
      <formula>-4100</formula>
    </cfRule>
  </conditionalFormatting>
  <conditionalFormatting sqref="F693">
    <cfRule type="cellIs" dxfId="4" priority="1093" operator="greaterThanOrEqual">
      <formula>0</formula>
    </cfRule>
  </conditionalFormatting>
  <conditionalFormatting sqref="F693">
    <cfRule type="cellIs" dxfId="4" priority="1094" operator="greaterThanOrEqual">
      <formula>0</formula>
    </cfRule>
  </conditionalFormatting>
  <conditionalFormatting sqref="F693">
    <cfRule type="cellIs" dxfId="5" priority="1095" operator="lessThan">
      <formula>-4100</formula>
    </cfRule>
  </conditionalFormatting>
  <conditionalFormatting sqref="F693">
    <cfRule type="cellIs" dxfId="4" priority="1096" operator="greaterThanOrEqual">
      <formula>0</formula>
    </cfRule>
  </conditionalFormatting>
  <conditionalFormatting sqref="F693">
    <cfRule type="cellIs" dxfId="5" priority="1097" operator="lessThan">
      <formula>-4100</formula>
    </cfRule>
  </conditionalFormatting>
  <conditionalFormatting sqref="F693">
    <cfRule type="cellIs" dxfId="4" priority="1098" operator="greaterThanOrEqual">
      <formula>0</formula>
    </cfRule>
  </conditionalFormatting>
  <conditionalFormatting sqref="F693">
    <cfRule type="cellIs" dxfId="5" priority="1099" operator="lessThan">
      <formula>-4100</formula>
    </cfRule>
  </conditionalFormatting>
  <conditionalFormatting sqref="E693">
    <cfRule type="cellIs" dxfId="6" priority="1100" operator="greaterThan">
      <formula>0</formula>
    </cfRule>
  </conditionalFormatting>
  <conditionalFormatting sqref="F698">
    <cfRule type="cellIs" dxfId="5" priority="1101" operator="lessThan">
      <formula>-4100</formula>
    </cfRule>
  </conditionalFormatting>
  <conditionalFormatting sqref="F698">
    <cfRule type="cellIs" dxfId="4" priority="1102" operator="greaterThanOrEqual">
      <formula>0</formula>
    </cfRule>
  </conditionalFormatting>
  <conditionalFormatting sqref="F698">
    <cfRule type="cellIs" dxfId="4" priority="1103" operator="greaterThanOrEqual">
      <formula>0</formula>
    </cfRule>
  </conditionalFormatting>
  <conditionalFormatting sqref="F698">
    <cfRule type="cellIs" dxfId="5" priority="1104" operator="lessThan">
      <formula>-4100</formula>
    </cfRule>
  </conditionalFormatting>
  <conditionalFormatting sqref="F698">
    <cfRule type="cellIs" dxfId="4" priority="1105" operator="greaterThanOrEqual">
      <formula>0</formula>
    </cfRule>
  </conditionalFormatting>
  <conditionalFormatting sqref="F698">
    <cfRule type="cellIs" dxfId="5" priority="1106" operator="lessThan">
      <formula>-4100</formula>
    </cfRule>
  </conditionalFormatting>
  <conditionalFormatting sqref="F698">
    <cfRule type="cellIs" dxfId="4" priority="1107" operator="greaterThanOrEqual">
      <formula>0</formula>
    </cfRule>
  </conditionalFormatting>
  <conditionalFormatting sqref="F698">
    <cfRule type="cellIs" dxfId="5" priority="1108" operator="lessThan">
      <formula>-4100</formula>
    </cfRule>
  </conditionalFormatting>
  <conditionalFormatting sqref="E698">
    <cfRule type="cellIs" dxfId="6" priority="1109" operator="greaterThan">
      <formula>0</formula>
    </cfRule>
  </conditionalFormatting>
  <conditionalFormatting sqref="F407">
    <cfRule type="cellIs" dxfId="5" priority="1110" operator="lessThan">
      <formula>-4100</formula>
    </cfRule>
  </conditionalFormatting>
  <conditionalFormatting sqref="F407">
    <cfRule type="cellIs" dxfId="4" priority="1111" operator="greaterThanOrEqual">
      <formula>0</formula>
    </cfRule>
  </conditionalFormatting>
  <conditionalFormatting sqref="F407">
    <cfRule type="cellIs" dxfId="4" priority="1112" operator="greaterThanOrEqual">
      <formula>0</formula>
    </cfRule>
  </conditionalFormatting>
  <conditionalFormatting sqref="F407">
    <cfRule type="cellIs" dxfId="5" priority="1113" operator="lessThan">
      <formula>-4100</formula>
    </cfRule>
  </conditionalFormatting>
  <conditionalFormatting sqref="F407">
    <cfRule type="cellIs" dxfId="4" priority="1114" operator="greaterThanOrEqual">
      <formula>0</formula>
    </cfRule>
  </conditionalFormatting>
  <conditionalFormatting sqref="F407">
    <cfRule type="cellIs" dxfId="5" priority="1115" operator="lessThan">
      <formula>-4100</formula>
    </cfRule>
  </conditionalFormatting>
  <conditionalFormatting sqref="F407">
    <cfRule type="cellIs" dxfId="4" priority="1116" operator="greaterThanOrEqual">
      <formula>0</formula>
    </cfRule>
  </conditionalFormatting>
  <conditionalFormatting sqref="F407">
    <cfRule type="cellIs" dxfId="5" priority="1117" operator="lessThan">
      <formula>-4100</formula>
    </cfRule>
  </conditionalFormatting>
  <conditionalFormatting sqref="F407">
    <cfRule type="cellIs" dxfId="4" priority="1118" operator="greaterThanOrEqual">
      <formula>0</formula>
    </cfRule>
  </conditionalFormatting>
  <conditionalFormatting sqref="F407">
    <cfRule type="cellIs" dxfId="5" priority="1119" operator="lessThan">
      <formula>-4100</formula>
    </cfRule>
  </conditionalFormatting>
  <conditionalFormatting sqref="F407">
    <cfRule type="cellIs" dxfId="5" priority="1120" operator="lessThan">
      <formula>-4100</formula>
    </cfRule>
  </conditionalFormatting>
  <conditionalFormatting sqref="F407">
    <cfRule type="cellIs" dxfId="4" priority="1121" operator="greaterThanOrEqual">
      <formula>0</formula>
    </cfRule>
  </conditionalFormatting>
  <conditionalFormatting sqref="F407">
    <cfRule type="cellIs" dxfId="4" priority="1122" operator="greaterThanOrEqual">
      <formula>0</formula>
    </cfRule>
  </conditionalFormatting>
  <conditionalFormatting sqref="F407">
    <cfRule type="cellIs" dxfId="5" priority="1123" operator="lessThan">
      <formula>-4100</formula>
    </cfRule>
  </conditionalFormatting>
  <conditionalFormatting sqref="F407">
    <cfRule type="cellIs" dxfId="4" priority="1124" operator="greaterThanOrEqual">
      <formula>0</formula>
    </cfRule>
  </conditionalFormatting>
  <conditionalFormatting sqref="F407">
    <cfRule type="cellIs" dxfId="5" priority="1125" operator="lessThan">
      <formula>-4100</formula>
    </cfRule>
  </conditionalFormatting>
  <conditionalFormatting sqref="E407">
    <cfRule type="cellIs" dxfId="6" priority="1126" operator="greaterThan">
      <formula>0</formula>
    </cfRule>
  </conditionalFormatting>
  <conditionalFormatting sqref="F552">
    <cfRule type="cellIs" dxfId="4" priority="1127" operator="greaterThanOrEqual">
      <formula>0</formula>
    </cfRule>
  </conditionalFormatting>
  <conditionalFormatting sqref="F552">
    <cfRule type="cellIs" dxfId="5" priority="1128" operator="lessThan">
      <formula>-4100</formula>
    </cfRule>
  </conditionalFormatting>
  <conditionalFormatting sqref="F552">
    <cfRule type="cellIs" dxfId="4" priority="1129" operator="greaterThanOrEqual">
      <formula>0</formula>
    </cfRule>
  </conditionalFormatting>
  <conditionalFormatting sqref="F552">
    <cfRule type="cellIs" dxfId="5" priority="1130" operator="lessThan">
      <formula>-4100</formula>
    </cfRule>
  </conditionalFormatting>
  <conditionalFormatting sqref="E552">
    <cfRule type="cellIs" dxfId="6" priority="1131" operator="greaterThan">
      <formula>0</formula>
    </cfRule>
  </conditionalFormatting>
  <conditionalFormatting sqref="F552">
    <cfRule type="cellIs" dxfId="4" priority="1132" operator="greaterThanOrEqual">
      <formula>0</formula>
    </cfRule>
  </conditionalFormatting>
  <conditionalFormatting sqref="F552">
    <cfRule type="cellIs" dxfId="5" priority="1133" operator="lessThan">
      <formula>-4100</formula>
    </cfRule>
  </conditionalFormatting>
  <conditionalFormatting sqref="F552">
    <cfRule type="cellIs" dxfId="4" priority="1134" operator="greaterThanOrEqual">
      <formula>0</formula>
    </cfRule>
  </conditionalFormatting>
  <conditionalFormatting sqref="F552">
    <cfRule type="cellIs" dxfId="5" priority="1135" operator="lessThan">
      <formula>-4100</formula>
    </cfRule>
  </conditionalFormatting>
  <conditionalFormatting sqref="F552">
    <cfRule type="cellIs" dxfId="4" priority="1136" operator="greaterThanOrEqual">
      <formula>0</formula>
    </cfRule>
  </conditionalFormatting>
  <conditionalFormatting sqref="F552">
    <cfRule type="cellIs" dxfId="5" priority="1137" operator="lessThan">
      <formula>-4100</formula>
    </cfRule>
  </conditionalFormatting>
  <conditionalFormatting sqref="F552">
    <cfRule type="cellIs" dxfId="4" priority="1138" operator="greaterThanOrEqual">
      <formula>0</formula>
    </cfRule>
  </conditionalFormatting>
  <conditionalFormatting sqref="F552">
    <cfRule type="cellIs" dxfId="5" priority="1139" operator="lessThan">
      <formula>-4100</formula>
    </cfRule>
  </conditionalFormatting>
  <conditionalFormatting sqref="F552">
    <cfRule type="cellIs" dxfId="4" priority="1140" operator="greaterThanOrEqual">
      <formula>0</formula>
    </cfRule>
  </conditionalFormatting>
  <conditionalFormatting sqref="F552">
    <cfRule type="cellIs" dxfId="5" priority="1141" operator="lessThan">
      <formula>-4100</formula>
    </cfRule>
  </conditionalFormatting>
  <conditionalFormatting sqref="F552">
    <cfRule type="cellIs" dxfId="4" priority="1142" operator="greaterThanOrEqual">
      <formula>0</formula>
    </cfRule>
  </conditionalFormatting>
  <conditionalFormatting sqref="F552">
    <cfRule type="cellIs" dxfId="5" priority="1143" operator="lessThan">
      <formula>-4100</formula>
    </cfRule>
  </conditionalFormatting>
  <conditionalFormatting sqref="F174">
    <cfRule type="cellIs" dxfId="5" priority="1144" operator="lessThan">
      <formula>-4100</formula>
    </cfRule>
  </conditionalFormatting>
  <conditionalFormatting sqref="F174">
    <cfRule type="cellIs" dxfId="4" priority="1145" operator="greaterThanOrEqual">
      <formula>0</formula>
    </cfRule>
  </conditionalFormatting>
  <conditionalFormatting sqref="F174">
    <cfRule type="cellIs" dxfId="4" priority="1146" operator="greaterThanOrEqual">
      <formula>0</formula>
    </cfRule>
  </conditionalFormatting>
  <conditionalFormatting sqref="F174">
    <cfRule type="cellIs" dxfId="5" priority="1147" operator="lessThan">
      <formula>-4100</formula>
    </cfRule>
  </conditionalFormatting>
  <conditionalFormatting sqref="F174">
    <cfRule type="cellIs" dxfId="4" priority="1148" operator="greaterThanOrEqual">
      <formula>0</formula>
    </cfRule>
  </conditionalFormatting>
  <conditionalFormatting sqref="F174">
    <cfRule type="cellIs" dxfId="5" priority="1149" operator="lessThan">
      <formula>-4100</formula>
    </cfRule>
  </conditionalFormatting>
  <conditionalFormatting sqref="F174">
    <cfRule type="cellIs" dxfId="4" priority="1150" operator="greaterThanOrEqual">
      <formula>0</formula>
    </cfRule>
  </conditionalFormatting>
  <conditionalFormatting sqref="F174">
    <cfRule type="cellIs" dxfId="5" priority="1151" operator="lessThan">
      <formula>-4100</formula>
    </cfRule>
  </conditionalFormatting>
  <conditionalFormatting sqref="F174">
    <cfRule type="cellIs" dxfId="4" priority="1152" operator="greaterThanOrEqual">
      <formula>0</formula>
    </cfRule>
  </conditionalFormatting>
  <conditionalFormatting sqref="F174">
    <cfRule type="cellIs" dxfId="5" priority="1153" operator="lessThan">
      <formula>-4100</formula>
    </cfRule>
  </conditionalFormatting>
  <conditionalFormatting sqref="F174">
    <cfRule type="cellIs" dxfId="5" priority="1154" operator="lessThan">
      <formula>-4100</formula>
    </cfRule>
  </conditionalFormatting>
  <conditionalFormatting sqref="F174">
    <cfRule type="cellIs" dxfId="4" priority="1155" operator="greaterThanOrEqual">
      <formula>0</formula>
    </cfRule>
  </conditionalFormatting>
  <conditionalFormatting sqref="F174">
    <cfRule type="cellIs" dxfId="4" priority="1156" operator="greaterThanOrEqual">
      <formula>0</formula>
    </cfRule>
  </conditionalFormatting>
  <conditionalFormatting sqref="F174">
    <cfRule type="cellIs" dxfId="5" priority="1157" operator="lessThan">
      <formula>-4100</formula>
    </cfRule>
  </conditionalFormatting>
  <conditionalFormatting sqref="F174">
    <cfRule type="cellIs" dxfId="4" priority="1158" operator="greaterThanOrEqual">
      <formula>0</formula>
    </cfRule>
  </conditionalFormatting>
  <conditionalFormatting sqref="F174">
    <cfRule type="cellIs" dxfId="5" priority="1159" operator="lessThan">
      <formula>-4100</formula>
    </cfRule>
  </conditionalFormatting>
  <conditionalFormatting sqref="E174">
    <cfRule type="cellIs" dxfId="6" priority="1160" operator="greaterThan">
      <formula>0</formula>
    </cfRule>
  </conditionalFormatting>
  <conditionalFormatting sqref="F502">
    <cfRule type="cellIs" dxfId="5" priority="1161" operator="lessThan">
      <formula>-4100</formula>
    </cfRule>
  </conditionalFormatting>
  <conditionalFormatting sqref="F502">
    <cfRule type="cellIs" dxfId="4" priority="1162" operator="greaterThanOrEqual">
      <formula>0</formula>
    </cfRule>
  </conditionalFormatting>
  <conditionalFormatting sqref="F502">
    <cfRule type="cellIs" dxfId="4" priority="1163" operator="greaterThanOrEqual">
      <formula>0</formula>
    </cfRule>
  </conditionalFormatting>
  <conditionalFormatting sqref="F502">
    <cfRule type="cellIs" dxfId="5" priority="1164" operator="lessThan">
      <formula>-4100</formula>
    </cfRule>
  </conditionalFormatting>
  <conditionalFormatting sqref="F502">
    <cfRule type="cellIs" dxfId="4" priority="1165" operator="greaterThanOrEqual">
      <formula>0</formula>
    </cfRule>
  </conditionalFormatting>
  <conditionalFormatting sqref="F502">
    <cfRule type="cellIs" dxfId="5" priority="1166" operator="lessThan">
      <formula>-4100</formula>
    </cfRule>
  </conditionalFormatting>
  <conditionalFormatting sqref="F502">
    <cfRule type="cellIs" dxfId="4" priority="1167" operator="greaterThanOrEqual">
      <formula>0</formula>
    </cfRule>
  </conditionalFormatting>
  <conditionalFormatting sqref="F502">
    <cfRule type="cellIs" dxfId="5" priority="1168" operator="lessThan">
      <formula>-4100</formula>
    </cfRule>
  </conditionalFormatting>
  <conditionalFormatting sqref="F502">
    <cfRule type="cellIs" dxfId="4" priority="1169" operator="greaterThanOrEqual">
      <formula>0</formula>
    </cfRule>
  </conditionalFormatting>
  <conditionalFormatting sqref="F502">
    <cfRule type="cellIs" dxfId="5" priority="1170" operator="lessThan">
      <formula>-4100</formula>
    </cfRule>
  </conditionalFormatting>
  <conditionalFormatting sqref="F502">
    <cfRule type="cellIs" dxfId="5" priority="1171" operator="lessThan">
      <formula>-4100</formula>
    </cfRule>
  </conditionalFormatting>
  <conditionalFormatting sqref="F502">
    <cfRule type="cellIs" dxfId="4" priority="1172" operator="greaterThanOrEqual">
      <formula>0</formula>
    </cfRule>
  </conditionalFormatting>
  <conditionalFormatting sqref="F502">
    <cfRule type="cellIs" dxfId="4" priority="1173" operator="greaterThanOrEqual">
      <formula>0</formula>
    </cfRule>
  </conditionalFormatting>
  <conditionalFormatting sqref="F502">
    <cfRule type="cellIs" dxfId="5" priority="1174" operator="lessThan">
      <formula>-4100</formula>
    </cfRule>
  </conditionalFormatting>
  <conditionalFormatting sqref="F502">
    <cfRule type="cellIs" dxfId="4" priority="1175" operator="greaterThanOrEqual">
      <formula>0</formula>
    </cfRule>
  </conditionalFormatting>
  <conditionalFormatting sqref="F502">
    <cfRule type="cellIs" dxfId="5" priority="1176" operator="lessThan">
      <formula>-4100</formula>
    </cfRule>
  </conditionalFormatting>
  <conditionalFormatting sqref="E502">
    <cfRule type="cellIs" dxfId="6" priority="1177" operator="greaterThan">
      <formula>0</formula>
    </cfRule>
  </conditionalFormatting>
  <conditionalFormatting sqref="H383">
    <cfRule type="expression" dxfId="0" priority="1178">
      <formula>H383&lt;($D$371-6%)</formula>
    </cfRule>
  </conditionalFormatting>
  <conditionalFormatting sqref="H383">
    <cfRule type="expression" dxfId="1" priority="1179">
      <formula>H383&gt;($D$371+6%)</formula>
    </cfRule>
  </conditionalFormatting>
  <conditionalFormatting sqref="H383">
    <cfRule type="expression" dxfId="2" priority="1180">
      <formula>H383&lt;($D$371-3%)</formula>
    </cfRule>
  </conditionalFormatting>
  <conditionalFormatting sqref="H383">
    <cfRule type="expression" dxfId="3" priority="1181">
      <formula>H383&gt;($D$371+3%)</formula>
    </cfRule>
  </conditionalFormatting>
  <conditionalFormatting sqref="H384">
    <cfRule type="expression" dxfId="0" priority="1182">
      <formula>H384&lt;($D$371-6%)</formula>
    </cfRule>
  </conditionalFormatting>
  <conditionalFormatting sqref="H384">
    <cfRule type="expression" dxfId="1" priority="1183">
      <formula>H384&gt;($D$371+6%)</formula>
    </cfRule>
  </conditionalFormatting>
  <conditionalFormatting sqref="H384">
    <cfRule type="expression" dxfId="2" priority="1184">
      <formula>H384&lt;($D$371-3%)</formula>
    </cfRule>
  </conditionalFormatting>
  <conditionalFormatting sqref="H384">
    <cfRule type="expression" dxfId="3" priority="1185">
      <formula>H384&gt;($D$371+3%)</formula>
    </cfRule>
  </conditionalFormatting>
  <conditionalFormatting sqref="F387">
    <cfRule type="cellIs" dxfId="5" priority="1186" operator="lessThan">
      <formula>-4100</formula>
    </cfRule>
  </conditionalFormatting>
  <conditionalFormatting sqref="F387">
    <cfRule type="cellIs" dxfId="4" priority="1187" operator="greaterThanOrEqual">
      <formula>0</formula>
    </cfRule>
  </conditionalFormatting>
  <conditionalFormatting sqref="F387">
    <cfRule type="cellIs" dxfId="4" priority="1188" operator="greaterThanOrEqual">
      <formula>0</formula>
    </cfRule>
  </conditionalFormatting>
  <conditionalFormatting sqref="F387">
    <cfRule type="cellIs" dxfId="5" priority="1189" operator="lessThan">
      <formula>-4100</formula>
    </cfRule>
  </conditionalFormatting>
  <conditionalFormatting sqref="F387">
    <cfRule type="cellIs" dxfId="4" priority="1190" operator="greaterThanOrEqual">
      <formula>0</formula>
    </cfRule>
  </conditionalFormatting>
  <conditionalFormatting sqref="F387">
    <cfRule type="cellIs" dxfId="5" priority="1191" operator="lessThan">
      <formula>-4100</formula>
    </cfRule>
  </conditionalFormatting>
  <conditionalFormatting sqref="F387">
    <cfRule type="cellIs" dxfId="4" priority="1192" operator="greaterThanOrEqual">
      <formula>0</formula>
    </cfRule>
  </conditionalFormatting>
  <conditionalFormatting sqref="F387">
    <cfRule type="cellIs" dxfId="5" priority="1193" operator="lessThan">
      <formula>-4100</formula>
    </cfRule>
  </conditionalFormatting>
  <conditionalFormatting sqref="F387">
    <cfRule type="cellIs" dxfId="4" priority="1194" operator="greaterThanOrEqual">
      <formula>0</formula>
    </cfRule>
  </conditionalFormatting>
  <conditionalFormatting sqref="F387">
    <cfRule type="cellIs" dxfId="5" priority="1195" operator="lessThan">
      <formula>-4100</formula>
    </cfRule>
  </conditionalFormatting>
  <conditionalFormatting sqref="F387">
    <cfRule type="cellIs" dxfId="5" priority="1196" operator="lessThan">
      <formula>-4100</formula>
    </cfRule>
  </conditionalFormatting>
  <conditionalFormatting sqref="F387">
    <cfRule type="cellIs" dxfId="4" priority="1197" operator="greaterThanOrEqual">
      <formula>0</formula>
    </cfRule>
  </conditionalFormatting>
  <conditionalFormatting sqref="F387">
    <cfRule type="cellIs" dxfId="4" priority="1198" operator="greaterThanOrEqual">
      <formula>0</formula>
    </cfRule>
  </conditionalFormatting>
  <conditionalFormatting sqref="F387">
    <cfRule type="cellIs" dxfId="5" priority="1199" operator="lessThan">
      <formula>-4100</formula>
    </cfRule>
  </conditionalFormatting>
  <conditionalFormatting sqref="F387">
    <cfRule type="cellIs" dxfId="4" priority="1200" operator="greaterThanOrEqual">
      <formula>0</formula>
    </cfRule>
  </conditionalFormatting>
  <conditionalFormatting sqref="F387">
    <cfRule type="cellIs" dxfId="5" priority="1201" operator="lessThan">
      <formula>-4100</formula>
    </cfRule>
  </conditionalFormatting>
  <conditionalFormatting sqref="E387">
    <cfRule type="cellIs" dxfId="6" priority="1202" operator="greaterThan">
      <formula>0</formula>
    </cfRule>
  </conditionalFormatting>
  <conditionalFormatting sqref="F402">
    <cfRule type="cellIs" dxfId="5" priority="1203" operator="lessThan">
      <formula>-4100</formula>
    </cfRule>
  </conditionalFormatting>
  <conditionalFormatting sqref="F402">
    <cfRule type="cellIs" dxfId="4" priority="1204" operator="greaterThanOrEqual">
      <formula>0</formula>
    </cfRule>
  </conditionalFormatting>
  <conditionalFormatting sqref="F402">
    <cfRule type="cellIs" dxfId="4" priority="1205" operator="greaterThanOrEqual">
      <formula>0</formula>
    </cfRule>
  </conditionalFormatting>
  <conditionalFormatting sqref="F402">
    <cfRule type="cellIs" dxfId="5" priority="1206" operator="lessThan">
      <formula>-4100</formula>
    </cfRule>
  </conditionalFormatting>
  <conditionalFormatting sqref="F402">
    <cfRule type="cellIs" dxfId="4" priority="1207" operator="greaterThanOrEqual">
      <formula>0</formula>
    </cfRule>
  </conditionalFormatting>
  <conditionalFormatting sqref="F402">
    <cfRule type="cellIs" dxfId="5" priority="1208" operator="lessThan">
      <formula>-4100</formula>
    </cfRule>
  </conditionalFormatting>
  <conditionalFormatting sqref="F402">
    <cfRule type="cellIs" dxfId="4" priority="1209" operator="greaterThanOrEqual">
      <formula>0</formula>
    </cfRule>
  </conditionalFormatting>
  <conditionalFormatting sqref="F402">
    <cfRule type="cellIs" dxfId="5" priority="1210" operator="lessThan">
      <formula>-4100</formula>
    </cfRule>
  </conditionalFormatting>
  <conditionalFormatting sqref="F402">
    <cfRule type="cellIs" dxfId="4" priority="1211" operator="greaterThanOrEqual">
      <formula>0</formula>
    </cfRule>
  </conditionalFormatting>
  <conditionalFormatting sqref="F402">
    <cfRule type="cellIs" dxfId="5" priority="1212" operator="lessThan">
      <formula>-4100</formula>
    </cfRule>
  </conditionalFormatting>
  <conditionalFormatting sqref="F402">
    <cfRule type="cellIs" dxfId="5" priority="1213" operator="lessThan">
      <formula>-4100</formula>
    </cfRule>
  </conditionalFormatting>
  <conditionalFormatting sqref="F402">
    <cfRule type="cellIs" dxfId="4" priority="1214" operator="greaterThanOrEqual">
      <formula>0</formula>
    </cfRule>
  </conditionalFormatting>
  <conditionalFormatting sqref="F402">
    <cfRule type="cellIs" dxfId="4" priority="1215" operator="greaterThanOrEqual">
      <formula>0</formula>
    </cfRule>
  </conditionalFormatting>
  <conditionalFormatting sqref="F402">
    <cfRule type="cellIs" dxfId="5" priority="1216" operator="lessThan">
      <formula>-4100</formula>
    </cfRule>
  </conditionalFormatting>
  <conditionalFormatting sqref="F402">
    <cfRule type="cellIs" dxfId="4" priority="1217" operator="greaterThanOrEqual">
      <formula>0</formula>
    </cfRule>
  </conditionalFormatting>
  <conditionalFormatting sqref="F402">
    <cfRule type="cellIs" dxfId="5" priority="1218" operator="lessThan">
      <formula>-4100</formula>
    </cfRule>
  </conditionalFormatting>
  <conditionalFormatting sqref="E402">
    <cfRule type="cellIs" dxfId="6" priority="1219" operator="greaterThan">
      <formula>0</formula>
    </cfRule>
  </conditionalFormatting>
  <conditionalFormatting sqref="F342">
    <cfRule type="cellIs" dxfId="5" priority="1220" operator="lessThan">
      <formula>-4100</formula>
    </cfRule>
  </conditionalFormatting>
  <conditionalFormatting sqref="F342">
    <cfRule type="cellIs" dxfId="4" priority="1221" operator="greaterThanOrEqual">
      <formula>0</formula>
    </cfRule>
  </conditionalFormatting>
  <conditionalFormatting sqref="F342">
    <cfRule type="cellIs" dxfId="4" priority="1222" operator="greaterThanOrEqual">
      <formula>0</formula>
    </cfRule>
  </conditionalFormatting>
  <conditionalFormatting sqref="F342">
    <cfRule type="cellIs" dxfId="5" priority="1223" operator="lessThan">
      <formula>-4100</formula>
    </cfRule>
  </conditionalFormatting>
  <conditionalFormatting sqref="F342">
    <cfRule type="cellIs" dxfId="4" priority="1224" operator="greaterThanOrEqual">
      <formula>0</formula>
    </cfRule>
  </conditionalFormatting>
  <conditionalFormatting sqref="F342">
    <cfRule type="cellIs" dxfId="5" priority="1225" operator="lessThan">
      <formula>-4100</formula>
    </cfRule>
  </conditionalFormatting>
  <conditionalFormatting sqref="F342">
    <cfRule type="cellIs" dxfId="4" priority="1226" operator="greaterThanOrEqual">
      <formula>0</formula>
    </cfRule>
  </conditionalFormatting>
  <conditionalFormatting sqref="F342">
    <cfRule type="cellIs" dxfId="5" priority="1227" operator="lessThan">
      <formula>-4100</formula>
    </cfRule>
  </conditionalFormatting>
  <conditionalFormatting sqref="F342">
    <cfRule type="cellIs" dxfId="4" priority="1228" operator="greaterThanOrEqual">
      <formula>0</formula>
    </cfRule>
  </conditionalFormatting>
  <conditionalFormatting sqref="F342">
    <cfRule type="cellIs" dxfId="5" priority="1229" operator="lessThan">
      <formula>-4100</formula>
    </cfRule>
  </conditionalFormatting>
  <conditionalFormatting sqref="F342">
    <cfRule type="cellIs" dxfId="5" priority="1230" operator="lessThan">
      <formula>-4100</formula>
    </cfRule>
  </conditionalFormatting>
  <conditionalFormatting sqref="F342">
    <cfRule type="cellIs" dxfId="4" priority="1231" operator="greaterThanOrEqual">
      <formula>0</formula>
    </cfRule>
  </conditionalFormatting>
  <conditionalFormatting sqref="F342">
    <cfRule type="cellIs" dxfId="4" priority="1232" operator="greaterThanOrEqual">
      <formula>0</formula>
    </cfRule>
  </conditionalFormatting>
  <conditionalFormatting sqref="F342">
    <cfRule type="cellIs" dxfId="5" priority="1233" operator="lessThan">
      <formula>-4100</formula>
    </cfRule>
  </conditionalFormatting>
  <conditionalFormatting sqref="F342">
    <cfRule type="cellIs" dxfId="4" priority="1234" operator="greaterThanOrEqual">
      <formula>0</formula>
    </cfRule>
  </conditionalFormatting>
  <conditionalFormatting sqref="F342">
    <cfRule type="cellIs" dxfId="5" priority="1235" operator="lessThan">
      <formula>-4100</formula>
    </cfRule>
  </conditionalFormatting>
  <conditionalFormatting sqref="E342">
    <cfRule type="cellIs" dxfId="6" priority="1236" operator="greaterThan">
      <formula>0</formula>
    </cfRule>
  </conditionalFormatting>
  <conditionalFormatting sqref="F437">
    <cfRule type="cellIs" dxfId="5" priority="1237" operator="lessThan">
      <formula>-4100</formula>
    </cfRule>
  </conditionalFormatting>
  <conditionalFormatting sqref="F437">
    <cfRule type="cellIs" dxfId="4" priority="1238" operator="greaterThanOrEqual">
      <formula>0</formula>
    </cfRule>
  </conditionalFormatting>
  <conditionalFormatting sqref="F437">
    <cfRule type="cellIs" dxfId="4" priority="1239" operator="greaterThanOrEqual">
      <formula>0</formula>
    </cfRule>
  </conditionalFormatting>
  <conditionalFormatting sqref="F437">
    <cfRule type="cellIs" dxfId="5" priority="1240" operator="lessThan">
      <formula>-4100</formula>
    </cfRule>
  </conditionalFormatting>
  <conditionalFormatting sqref="F437">
    <cfRule type="cellIs" dxfId="4" priority="1241" operator="greaterThanOrEqual">
      <formula>0</formula>
    </cfRule>
  </conditionalFormatting>
  <conditionalFormatting sqref="F437">
    <cfRule type="cellIs" dxfId="5" priority="1242" operator="lessThan">
      <formula>-4100</formula>
    </cfRule>
  </conditionalFormatting>
  <conditionalFormatting sqref="F437">
    <cfRule type="cellIs" dxfId="4" priority="1243" operator="greaterThanOrEqual">
      <formula>0</formula>
    </cfRule>
  </conditionalFormatting>
  <conditionalFormatting sqref="F437">
    <cfRule type="cellIs" dxfId="5" priority="1244" operator="lessThan">
      <formula>-4100</formula>
    </cfRule>
  </conditionalFormatting>
  <conditionalFormatting sqref="F437">
    <cfRule type="cellIs" dxfId="4" priority="1245" operator="greaterThanOrEqual">
      <formula>0</formula>
    </cfRule>
  </conditionalFormatting>
  <conditionalFormatting sqref="F437">
    <cfRule type="cellIs" dxfId="5" priority="1246" operator="lessThan">
      <formula>-4100</formula>
    </cfRule>
  </conditionalFormatting>
  <conditionalFormatting sqref="F437">
    <cfRule type="cellIs" dxfId="5" priority="1247" operator="lessThan">
      <formula>-4100</formula>
    </cfRule>
  </conditionalFormatting>
  <conditionalFormatting sqref="F437">
    <cfRule type="cellIs" dxfId="4" priority="1248" operator="greaterThanOrEqual">
      <formula>0</formula>
    </cfRule>
  </conditionalFormatting>
  <conditionalFormatting sqref="F437">
    <cfRule type="cellIs" dxfId="4" priority="1249" operator="greaterThanOrEqual">
      <formula>0</formula>
    </cfRule>
  </conditionalFormatting>
  <conditionalFormatting sqref="F437">
    <cfRule type="cellIs" dxfId="5" priority="1250" operator="lessThan">
      <formula>-4100</formula>
    </cfRule>
  </conditionalFormatting>
  <conditionalFormatting sqref="F437">
    <cfRule type="cellIs" dxfId="4" priority="1251" operator="greaterThanOrEqual">
      <formula>0</formula>
    </cfRule>
  </conditionalFormatting>
  <conditionalFormatting sqref="F437">
    <cfRule type="cellIs" dxfId="5" priority="1252" operator="lessThan">
      <formula>-4100</formula>
    </cfRule>
  </conditionalFormatting>
  <conditionalFormatting sqref="E437">
    <cfRule type="cellIs" dxfId="6" priority="1253" operator="greaterThan">
      <formula>0</formula>
    </cfRule>
  </conditionalFormatting>
  <conditionalFormatting sqref="F567">
    <cfRule type="cellIs" dxfId="5" priority="1254" operator="lessThan">
      <formula>-4100</formula>
    </cfRule>
  </conditionalFormatting>
  <conditionalFormatting sqref="F567">
    <cfRule type="cellIs" dxfId="4" priority="1255" operator="greaterThanOrEqual">
      <formula>0</formula>
    </cfRule>
  </conditionalFormatting>
  <conditionalFormatting sqref="F567">
    <cfRule type="cellIs" dxfId="4" priority="1256" operator="greaterThanOrEqual">
      <formula>0</formula>
    </cfRule>
  </conditionalFormatting>
  <conditionalFormatting sqref="F567">
    <cfRule type="cellIs" dxfId="5" priority="1257" operator="lessThan">
      <formula>-4100</formula>
    </cfRule>
  </conditionalFormatting>
  <conditionalFormatting sqref="F567">
    <cfRule type="cellIs" dxfId="4" priority="1258" operator="greaterThanOrEqual">
      <formula>0</formula>
    </cfRule>
  </conditionalFormatting>
  <conditionalFormatting sqref="F567">
    <cfRule type="cellIs" dxfId="5" priority="1259" operator="lessThan">
      <formula>-4100</formula>
    </cfRule>
  </conditionalFormatting>
  <conditionalFormatting sqref="F567">
    <cfRule type="cellIs" dxfId="4" priority="1260" operator="greaterThanOrEqual">
      <formula>0</formula>
    </cfRule>
  </conditionalFormatting>
  <conditionalFormatting sqref="F567">
    <cfRule type="cellIs" dxfId="5" priority="1261" operator="lessThan">
      <formula>-4100</formula>
    </cfRule>
  </conditionalFormatting>
  <conditionalFormatting sqref="F567">
    <cfRule type="cellIs" dxfId="4" priority="1262" operator="greaterThanOrEqual">
      <formula>0</formula>
    </cfRule>
  </conditionalFormatting>
  <conditionalFormatting sqref="F567">
    <cfRule type="cellIs" dxfId="5" priority="1263" operator="lessThan">
      <formula>-4100</formula>
    </cfRule>
  </conditionalFormatting>
  <conditionalFormatting sqref="F567">
    <cfRule type="cellIs" dxfId="5" priority="1264" operator="lessThan">
      <formula>-4100</formula>
    </cfRule>
  </conditionalFormatting>
  <conditionalFormatting sqref="F567">
    <cfRule type="cellIs" dxfId="4" priority="1265" operator="greaterThanOrEqual">
      <formula>0</formula>
    </cfRule>
  </conditionalFormatting>
  <conditionalFormatting sqref="F567">
    <cfRule type="cellIs" dxfId="4" priority="1266" operator="greaterThanOrEqual">
      <formula>0</formula>
    </cfRule>
  </conditionalFormatting>
  <conditionalFormatting sqref="F567">
    <cfRule type="cellIs" dxfId="5" priority="1267" operator="lessThan">
      <formula>-4100</formula>
    </cfRule>
  </conditionalFormatting>
  <conditionalFormatting sqref="F567">
    <cfRule type="cellIs" dxfId="4" priority="1268" operator="greaterThanOrEqual">
      <formula>0</formula>
    </cfRule>
  </conditionalFormatting>
  <conditionalFormatting sqref="F567">
    <cfRule type="cellIs" dxfId="5" priority="1269" operator="lessThan">
      <formula>-4100</formula>
    </cfRule>
  </conditionalFormatting>
  <conditionalFormatting sqref="E567">
    <cfRule type="cellIs" dxfId="6" priority="1270" operator="greaterThan">
      <formula>0</formula>
    </cfRule>
  </conditionalFormatting>
  <conditionalFormatting sqref="F703">
    <cfRule type="cellIs" dxfId="5" priority="1271" operator="lessThan">
      <formula>-4100</formula>
    </cfRule>
  </conditionalFormatting>
  <conditionalFormatting sqref="F703">
    <cfRule type="cellIs" dxfId="4" priority="1272" operator="greaterThanOrEqual">
      <formula>0</formula>
    </cfRule>
  </conditionalFormatting>
  <conditionalFormatting sqref="F703">
    <cfRule type="cellIs" dxfId="4" priority="1273" operator="greaterThanOrEqual">
      <formula>0</formula>
    </cfRule>
  </conditionalFormatting>
  <conditionalFormatting sqref="F703">
    <cfRule type="cellIs" dxfId="5" priority="1274" operator="lessThan">
      <formula>-4100</formula>
    </cfRule>
  </conditionalFormatting>
  <conditionalFormatting sqref="F703">
    <cfRule type="cellIs" dxfId="4" priority="1275" operator="greaterThanOrEqual">
      <formula>0</formula>
    </cfRule>
  </conditionalFormatting>
  <conditionalFormatting sqref="F703">
    <cfRule type="cellIs" dxfId="5" priority="1276" operator="lessThan">
      <formula>-4100</formula>
    </cfRule>
  </conditionalFormatting>
  <conditionalFormatting sqref="F703">
    <cfRule type="cellIs" dxfId="4" priority="1277" operator="greaterThanOrEqual">
      <formula>0</formula>
    </cfRule>
  </conditionalFormatting>
  <conditionalFormatting sqref="F703">
    <cfRule type="cellIs" dxfId="5" priority="1278" operator="lessThan">
      <formula>-4100</formula>
    </cfRule>
  </conditionalFormatting>
  <conditionalFormatting sqref="E703">
    <cfRule type="cellIs" dxfId="6" priority="1279" operator="greaterThan">
      <formula>0</formula>
    </cfRule>
  </conditionalFormatting>
  <conditionalFormatting sqref="F708">
    <cfRule type="cellIs" dxfId="5" priority="1280" operator="lessThan">
      <formula>-4100</formula>
    </cfRule>
  </conditionalFormatting>
  <conditionalFormatting sqref="F708">
    <cfRule type="cellIs" dxfId="4" priority="1281" operator="greaterThanOrEqual">
      <formula>0</formula>
    </cfRule>
  </conditionalFormatting>
  <conditionalFormatting sqref="F708">
    <cfRule type="cellIs" dxfId="4" priority="1282" operator="greaterThanOrEqual">
      <formula>0</formula>
    </cfRule>
  </conditionalFormatting>
  <conditionalFormatting sqref="F708">
    <cfRule type="cellIs" dxfId="5" priority="1283" operator="lessThan">
      <formula>-4100</formula>
    </cfRule>
  </conditionalFormatting>
  <conditionalFormatting sqref="F708">
    <cfRule type="cellIs" dxfId="4" priority="1284" operator="greaterThanOrEqual">
      <formula>0</formula>
    </cfRule>
  </conditionalFormatting>
  <conditionalFormatting sqref="F708">
    <cfRule type="cellIs" dxfId="5" priority="1285" operator="lessThan">
      <formula>-4100</formula>
    </cfRule>
  </conditionalFormatting>
  <conditionalFormatting sqref="F708">
    <cfRule type="cellIs" dxfId="4" priority="1286" operator="greaterThanOrEqual">
      <formula>0</formula>
    </cfRule>
  </conditionalFormatting>
  <conditionalFormatting sqref="F708">
    <cfRule type="cellIs" dxfId="5" priority="1287" operator="lessThan">
      <formula>-4100</formula>
    </cfRule>
  </conditionalFormatting>
  <conditionalFormatting sqref="E708">
    <cfRule type="cellIs" dxfId="6" priority="1288" operator="greaterThan">
      <formula>0</formula>
    </cfRule>
  </conditionalFormatting>
  <conditionalFormatting sqref="F497">
    <cfRule type="cellIs" dxfId="5" priority="1289" operator="lessThan">
      <formula>-4100</formula>
    </cfRule>
  </conditionalFormatting>
  <conditionalFormatting sqref="F497">
    <cfRule type="cellIs" dxfId="4" priority="1290" operator="greaterThanOrEqual">
      <formula>0</formula>
    </cfRule>
  </conditionalFormatting>
  <conditionalFormatting sqref="F497">
    <cfRule type="cellIs" dxfId="4" priority="1291" operator="greaterThanOrEqual">
      <formula>0</formula>
    </cfRule>
  </conditionalFormatting>
  <conditionalFormatting sqref="F497">
    <cfRule type="cellIs" dxfId="5" priority="1292" operator="lessThan">
      <formula>-4100</formula>
    </cfRule>
  </conditionalFormatting>
  <conditionalFormatting sqref="F497">
    <cfRule type="cellIs" dxfId="4" priority="1293" operator="greaterThanOrEqual">
      <formula>0</formula>
    </cfRule>
  </conditionalFormatting>
  <conditionalFormatting sqref="F497">
    <cfRule type="cellIs" dxfId="5" priority="1294" operator="lessThan">
      <formula>-4100</formula>
    </cfRule>
  </conditionalFormatting>
  <conditionalFormatting sqref="F497">
    <cfRule type="cellIs" dxfId="4" priority="1295" operator="greaterThanOrEqual">
      <formula>0</formula>
    </cfRule>
  </conditionalFormatting>
  <conditionalFormatting sqref="F497">
    <cfRule type="cellIs" dxfId="5" priority="1296" operator="lessThan">
      <formula>-4100</formula>
    </cfRule>
  </conditionalFormatting>
  <conditionalFormatting sqref="F497">
    <cfRule type="cellIs" dxfId="4" priority="1297" operator="greaterThanOrEqual">
      <formula>0</formula>
    </cfRule>
  </conditionalFormatting>
  <conditionalFormatting sqref="F497">
    <cfRule type="cellIs" dxfId="5" priority="1298" operator="lessThan">
      <formula>-4100</formula>
    </cfRule>
  </conditionalFormatting>
  <conditionalFormatting sqref="F497">
    <cfRule type="cellIs" dxfId="5" priority="1299" operator="lessThan">
      <formula>-4100</formula>
    </cfRule>
  </conditionalFormatting>
  <conditionalFormatting sqref="F497">
    <cfRule type="cellIs" dxfId="4" priority="1300" operator="greaterThanOrEqual">
      <formula>0</formula>
    </cfRule>
  </conditionalFormatting>
  <conditionalFormatting sqref="F497">
    <cfRule type="cellIs" dxfId="4" priority="1301" operator="greaterThanOrEqual">
      <formula>0</formula>
    </cfRule>
  </conditionalFormatting>
  <conditionalFormatting sqref="F497">
    <cfRule type="cellIs" dxfId="5" priority="1302" operator="lessThan">
      <formula>-4100</formula>
    </cfRule>
  </conditionalFormatting>
  <conditionalFormatting sqref="F497">
    <cfRule type="cellIs" dxfId="4" priority="1303" operator="greaterThanOrEqual">
      <formula>0</formula>
    </cfRule>
  </conditionalFormatting>
  <conditionalFormatting sqref="F497">
    <cfRule type="cellIs" dxfId="5" priority="1304" operator="lessThan">
      <formula>-4100</formula>
    </cfRule>
  </conditionalFormatting>
  <conditionalFormatting sqref="E497">
    <cfRule type="cellIs" dxfId="6" priority="1305" operator="greaterThan">
      <formula>0</formula>
    </cfRule>
  </conditionalFormatting>
  <conditionalFormatting sqref="F713">
    <cfRule type="cellIs" dxfId="5" priority="1306" operator="lessThan">
      <formula>-4100</formula>
    </cfRule>
  </conditionalFormatting>
  <conditionalFormatting sqref="F713">
    <cfRule type="cellIs" dxfId="4" priority="1307" operator="greaterThanOrEqual">
      <formula>0</formula>
    </cfRule>
  </conditionalFormatting>
  <conditionalFormatting sqref="F713">
    <cfRule type="cellIs" dxfId="4" priority="1308" operator="greaterThanOrEqual">
      <formula>0</formula>
    </cfRule>
  </conditionalFormatting>
  <conditionalFormatting sqref="F713">
    <cfRule type="cellIs" dxfId="5" priority="1309" operator="lessThan">
      <formula>-4100</formula>
    </cfRule>
  </conditionalFormatting>
  <conditionalFormatting sqref="F713">
    <cfRule type="cellIs" dxfId="4" priority="1310" operator="greaterThanOrEqual">
      <formula>0</formula>
    </cfRule>
  </conditionalFormatting>
  <conditionalFormatting sqref="F713">
    <cfRule type="cellIs" dxfId="5" priority="1311" operator="lessThan">
      <formula>-4100</formula>
    </cfRule>
  </conditionalFormatting>
  <conditionalFormatting sqref="F713">
    <cfRule type="cellIs" dxfId="4" priority="1312" operator="greaterThanOrEqual">
      <formula>0</formula>
    </cfRule>
  </conditionalFormatting>
  <conditionalFormatting sqref="F713">
    <cfRule type="cellIs" dxfId="5" priority="1313" operator="lessThan">
      <formula>-4100</formula>
    </cfRule>
  </conditionalFormatting>
  <conditionalFormatting sqref="E713">
    <cfRule type="cellIs" dxfId="6" priority="1314" operator="greaterThan">
      <formula>0</formula>
    </cfRule>
  </conditionalFormatting>
  <conditionalFormatting sqref="F427">
    <cfRule type="cellIs" dxfId="5" priority="1315" operator="lessThan">
      <formula>-4100</formula>
    </cfRule>
  </conditionalFormatting>
  <conditionalFormatting sqref="F427">
    <cfRule type="cellIs" dxfId="4" priority="1316" operator="greaterThanOrEqual">
      <formula>0</formula>
    </cfRule>
  </conditionalFormatting>
  <conditionalFormatting sqref="F427">
    <cfRule type="cellIs" dxfId="4" priority="1317" operator="greaterThanOrEqual">
      <formula>0</formula>
    </cfRule>
  </conditionalFormatting>
  <conditionalFormatting sqref="F427">
    <cfRule type="cellIs" dxfId="5" priority="1318" operator="lessThan">
      <formula>-4100</formula>
    </cfRule>
  </conditionalFormatting>
  <conditionalFormatting sqref="F427">
    <cfRule type="cellIs" dxfId="4" priority="1319" operator="greaterThanOrEqual">
      <formula>0</formula>
    </cfRule>
  </conditionalFormatting>
  <conditionalFormatting sqref="F427">
    <cfRule type="cellIs" dxfId="5" priority="1320" operator="lessThan">
      <formula>-4100</formula>
    </cfRule>
  </conditionalFormatting>
  <conditionalFormatting sqref="F427">
    <cfRule type="cellIs" dxfId="4" priority="1321" operator="greaterThanOrEqual">
      <formula>0</formula>
    </cfRule>
  </conditionalFormatting>
  <conditionalFormatting sqref="F427">
    <cfRule type="cellIs" dxfId="5" priority="1322" operator="lessThan">
      <formula>-4100</formula>
    </cfRule>
  </conditionalFormatting>
  <conditionalFormatting sqref="F427">
    <cfRule type="cellIs" dxfId="4" priority="1323" operator="greaterThanOrEqual">
      <formula>0</formula>
    </cfRule>
  </conditionalFormatting>
  <conditionalFormatting sqref="F427">
    <cfRule type="cellIs" dxfId="5" priority="1324" operator="lessThan">
      <formula>-4100</formula>
    </cfRule>
  </conditionalFormatting>
  <conditionalFormatting sqref="F427">
    <cfRule type="cellIs" dxfId="5" priority="1325" operator="lessThan">
      <formula>-4100</formula>
    </cfRule>
  </conditionalFormatting>
  <conditionalFormatting sqref="F427">
    <cfRule type="cellIs" dxfId="4" priority="1326" operator="greaterThanOrEqual">
      <formula>0</formula>
    </cfRule>
  </conditionalFormatting>
  <conditionalFormatting sqref="F427">
    <cfRule type="cellIs" dxfId="4" priority="1327" operator="greaterThanOrEqual">
      <formula>0</formula>
    </cfRule>
  </conditionalFormatting>
  <conditionalFormatting sqref="F427">
    <cfRule type="cellIs" dxfId="5" priority="1328" operator="lessThan">
      <formula>-4100</formula>
    </cfRule>
  </conditionalFormatting>
  <conditionalFormatting sqref="F427">
    <cfRule type="cellIs" dxfId="4" priority="1329" operator="greaterThanOrEqual">
      <formula>0</formula>
    </cfRule>
  </conditionalFormatting>
  <conditionalFormatting sqref="F427">
    <cfRule type="cellIs" dxfId="5" priority="1330" operator="lessThan">
      <formula>-4100</formula>
    </cfRule>
  </conditionalFormatting>
  <conditionalFormatting sqref="E427">
    <cfRule type="cellIs" dxfId="6" priority="1331" operator="greaterThan">
      <formula>0</formula>
    </cfRule>
  </conditionalFormatting>
  <conditionalFormatting sqref="F537">
    <cfRule type="cellIs" dxfId="4" priority="1332" operator="greaterThanOrEqual">
      <formula>0</formula>
    </cfRule>
  </conditionalFormatting>
  <conditionalFormatting sqref="F537">
    <cfRule type="cellIs" dxfId="5" priority="1333" operator="lessThan">
      <formula>-4100</formula>
    </cfRule>
  </conditionalFormatting>
  <conditionalFormatting sqref="F537">
    <cfRule type="cellIs" dxfId="4" priority="1334" operator="greaterThanOrEqual">
      <formula>0</formula>
    </cfRule>
  </conditionalFormatting>
  <conditionalFormatting sqref="F537">
    <cfRule type="cellIs" dxfId="5" priority="1335" operator="lessThan">
      <formula>-4100</formula>
    </cfRule>
  </conditionalFormatting>
  <conditionalFormatting sqref="E537">
    <cfRule type="cellIs" dxfId="6" priority="1336" operator="greaterThan">
      <formula>0</formula>
    </cfRule>
  </conditionalFormatting>
  <conditionalFormatting sqref="F537">
    <cfRule type="cellIs" dxfId="4" priority="1337" operator="greaterThanOrEqual">
      <formula>0</formula>
    </cfRule>
  </conditionalFormatting>
  <conditionalFormatting sqref="F537">
    <cfRule type="cellIs" dxfId="5" priority="1338" operator="lessThan">
      <formula>-4100</formula>
    </cfRule>
  </conditionalFormatting>
  <conditionalFormatting sqref="F537">
    <cfRule type="cellIs" dxfId="4" priority="1339" operator="greaterThanOrEqual">
      <formula>0</formula>
    </cfRule>
  </conditionalFormatting>
  <conditionalFormatting sqref="F537">
    <cfRule type="cellIs" dxfId="5" priority="1340" operator="lessThan">
      <formula>-4100</formula>
    </cfRule>
  </conditionalFormatting>
  <conditionalFormatting sqref="F537">
    <cfRule type="cellIs" dxfId="4" priority="1341" operator="greaterThanOrEqual">
      <formula>0</formula>
    </cfRule>
  </conditionalFormatting>
  <conditionalFormatting sqref="F537">
    <cfRule type="cellIs" dxfId="5" priority="1342" operator="lessThan">
      <formula>-4100</formula>
    </cfRule>
  </conditionalFormatting>
  <conditionalFormatting sqref="F537">
    <cfRule type="cellIs" dxfId="4" priority="1343" operator="greaterThanOrEqual">
      <formula>0</formula>
    </cfRule>
  </conditionalFormatting>
  <conditionalFormatting sqref="F537">
    <cfRule type="cellIs" dxfId="5" priority="1344" operator="lessThan">
      <formula>-4100</formula>
    </cfRule>
  </conditionalFormatting>
  <conditionalFormatting sqref="F537">
    <cfRule type="cellIs" dxfId="4" priority="1345" operator="greaterThanOrEqual">
      <formula>0</formula>
    </cfRule>
  </conditionalFormatting>
  <conditionalFormatting sqref="F537">
    <cfRule type="cellIs" dxfId="5" priority="1346" operator="lessThan">
      <formula>-4100</formula>
    </cfRule>
  </conditionalFormatting>
  <conditionalFormatting sqref="F537">
    <cfRule type="cellIs" dxfId="4" priority="1347" operator="greaterThanOrEqual">
      <formula>0</formula>
    </cfRule>
  </conditionalFormatting>
  <conditionalFormatting sqref="F537">
    <cfRule type="cellIs" dxfId="5" priority="1348" operator="lessThan">
      <formula>-4100</formula>
    </cfRule>
  </conditionalFormatting>
  <conditionalFormatting sqref="F718">
    <cfRule type="cellIs" dxfId="5" priority="1349" operator="lessThan">
      <formula>-4100</formula>
    </cfRule>
  </conditionalFormatting>
  <conditionalFormatting sqref="F718">
    <cfRule type="cellIs" dxfId="4" priority="1350" operator="greaterThanOrEqual">
      <formula>0</formula>
    </cfRule>
  </conditionalFormatting>
  <conditionalFormatting sqref="F718">
    <cfRule type="cellIs" dxfId="4" priority="1351" operator="greaterThanOrEqual">
      <formula>0</formula>
    </cfRule>
  </conditionalFormatting>
  <conditionalFormatting sqref="F718">
    <cfRule type="cellIs" dxfId="5" priority="1352" operator="lessThan">
      <formula>-4100</formula>
    </cfRule>
  </conditionalFormatting>
  <conditionalFormatting sqref="F718">
    <cfRule type="cellIs" dxfId="4" priority="1353" operator="greaterThanOrEqual">
      <formula>0</formula>
    </cfRule>
  </conditionalFormatting>
  <conditionalFormatting sqref="F718">
    <cfRule type="cellIs" dxfId="5" priority="1354" operator="lessThan">
      <formula>-4100</formula>
    </cfRule>
  </conditionalFormatting>
  <conditionalFormatting sqref="F718">
    <cfRule type="cellIs" dxfId="4" priority="1355" operator="greaterThanOrEqual">
      <formula>0</formula>
    </cfRule>
  </conditionalFormatting>
  <conditionalFormatting sqref="F718">
    <cfRule type="cellIs" dxfId="5" priority="1356" operator="lessThan">
      <formula>-4100</formula>
    </cfRule>
  </conditionalFormatting>
  <conditionalFormatting sqref="E718">
    <cfRule type="cellIs" dxfId="6" priority="1357" operator="greaterThan">
      <formula>0</formula>
    </cfRule>
  </conditionalFormatting>
  <conditionalFormatting sqref="F723">
    <cfRule type="cellIs" dxfId="5" priority="1358" operator="lessThan">
      <formula>-4100</formula>
    </cfRule>
  </conditionalFormatting>
  <conditionalFormatting sqref="F723">
    <cfRule type="cellIs" dxfId="4" priority="1359" operator="greaterThanOrEqual">
      <formula>0</formula>
    </cfRule>
  </conditionalFormatting>
  <conditionalFormatting sqref="F723">
    <cfRule type="cellIs" dxfId="4" priority="1360" operator="greaterThanOrEqual">
      <formula>0</formula>
    </cfRule>
  </conditionalFormatting>
  <conditionalFormatting sqref="F723">
    <cfRule type="cellIs" dxfId="5" priority="1361" operator="lessThan">
      <formula>-4100</formula>
    </cfRule>
  </conditionalFormatting>
  <conditionalFormatting sqref="F723">
    <cfRule type="cellIs" dxfId="4" priority="1362" operator="greaterThanOrEqual">
      <formula>0</formula>
    </cfRule>
  </conditionalFormatting>
  <conditionalFormatting sqref="F723">
    <cfRule type="cellIs" dxfId="5" priority="1363" operator="lessThan">
      <formula>-4100</formula>
    </cfRule>
  </conditionalFormatting>
  <conditionalFormatting sqref="F723">
    <cfRule type="cellIs" dxfId="4" priority="1364" operator="greaterThanOrEqual">
      <formula>0</formula>
    </cfRule>
  </conditionalFormatting>
  <conditionalFormatting sqref="F723">
    <cfRule type="cellIs" dxfId="5" priority="1365" operator="lessThan">
      <formula>-4100</formula>
    </cfRule>
  </conditionalFormatting>
  <conditionalFormatting sqref="E723">
    <cfRule type="cellIs" dxfId="6" priority="1366" operator="greaterThan">
      <formula>0</formula>
    </cfRule>
  </conditionalFormatting>
  <conditionalFormatting sqref="F492">
    <cfRule type="cellIs" dxfId="5" priority="1367" operator="lessThan">
      <formula>-4100</formula>
    </cfRule>
  </conditionalFormatting>
  <conditionalFormatting sqref="F492">
    <cfRule type="cellIs" dxfId="4" priority="1368" operator="greaterThanOrEqual">
      <formula>0</formula>
    </cfRule>
  </conditionalFormatting>
  <conditionalFormatting sqref="F492">
    <cfRule type="cellIs" dxfId="4" priority="1369" operator="greaterThanOrEqual">
      <formula>0</formula>
    </cfRule>
  </conditionalFormatting>
  <conditionalFormatting sqref="F492">
    <cfRule type="cellIs" dxfId="5" priority="1370" operator="lessThan">
      <formula>-4100</formula>
    </cfRule>
  </conditionalFormatting>
  <conditionalFormatting sqref="F492">
    <cfRule type="cellIs" dxfId="4" priority="1371" operator="greaterThanOrEqual">
      <formula>0</formula>
    </cfRule>
  </conditionalFormatting>
  <conditionalFormatting sqref="F492">
    <cfRule type="cellIs" dxfId="5" priority="1372" operator="lessThan">
      <formula>-4100</formula>
    </cfRule>
  </conditionalFormatting>
  <conditionalFormatting sqref="F492">
    <cfRule type="cellIs" dxfId="4" priority="1373" operator="greaterThanOrEqual">
      <formula>0</formula>
    </cfRule>
  </conditionalFormatting>
  <conditionalFormatting sqref="F492">
    <cfRule type="cellIs" dxfId="5" priority="1374" operator="lessThan">
      <formula>-4100</formula>
    </cfRule>
  </conditionalFormatting>
  <conditionalFormatting sqref="F492">
    <cfRule type="cellIs" dxfId="4" priority="1375" operator="greaterThanOrEqual">
      <formula>0</formula>
    </cfRule>
  </conditionalFormatting>
  <conditionalFormatting sqref="F492">
    <cfRule type="cellIs" dxfId="5" priority="1376" operator="lessThan">
      <formula>-4100</formula>
    </cfRule>
  </conditionalFormatting>
  <conditionalFormatting sqref="F492">
    <cfRule type="cellIs" dxfId="5" priority="1377" operator="lessThan">
      <formula>-4100</formula>
    </cfRule>
  </conditionalFormatting>
  <conditionalFormatting sqref="F492">
    <cfRule type="cellIs" dxfId="4" priority="1378" operator="greaterThanOrEqual">
      <formula>0</formula>
    </cfRule>
  </conditionalFormatting>
  <conditionalFormatting sqref="F492">
    <cfRule type="cellIs" dxfId="4" priority="1379" operator="greaterThanOrEqual">
      <formula>0</formula>
    </cfRule>
  </conditionalFormatting>
  <conditionalFormatting sqref="F492">
    <cfRule type="cellIs" dxfId="5" priority="1380" operator="lessThan">
      <formula>-4100</formula>
    </cfRule>
  </conditionalFormatting>
  <conditionalFormatting sqref="F492">
    <cfRule type="cellIs" dxfId="4" priority="1381" operator="greaterThanOrEqual">
      <formula>0</formula>
    </cfRule>
  </conditionalFormatting>
  <conditionalFormatting sqref="F492">
    <cfRule type="cellIs" dxfId="5" priority="1382" operator="lessThan">
      <formula>-4100</formula>
    </cfRule>
  </conditionalFormatting>
  <conditionalFormatting sqref="E492">
    <cfRule type="cellIs" dxfId="6" priority="1383" operator="greaterThan">
      <formula>0</formula>
    </cfRule>
  </conditionalFormatting>
  <conditionalFormatting sqref="F487">
    <cfRule type="cellIs" dxfId="5" priority="1384" operator="lessThan">
      <formula>-4100</formula>
    </cfRule>
  </conditionalFormatting>
  <conditionalFormatting sqref="F487">
    <cfRule type="cellIs" dxfId="4" priority="1385" operator="greaterThanOrEqual">
      <formula>0</formula>
    </cfRule>
  </conditionalFormatting>
  <conditionalFormatting sqref="F487">
    <cfRule type="cellIs" dxfId="4" priority="1386" operator="greaterThanOrEqual">
      <formula>0</formula>
    </cfRule>
  </conditionalFormatting>
  <conditionalFormatting sqref="F487">
    <cfRule type="cellIs" dxfId="5" priority="1387" operator="lessThan">
      <formula>-4100</formula>
    </cfRule>
  </conditionalFormatting>
  <conditionalFormatting sqref="F487">
    <cfRule type="cellIs" dxfId="4" priority="1388" operator="greaterThanOrEqual">
      <formula>0</formula>
    </cfRule>
  </conditionalFormatting>
  <conditionalFormatting sqref="F487">
    <cfRule type="cellIs" dxfId="5" priority="1389" operator="lessThan">
      <formula>-4100</formula>
    </cfRule>
  </conditionalFormatting>
  <conditionalFormatting sqref="F487">
    <cfRule type="cellIs" dxfId="4" priority="1390" operator="greaterThanOrEqual">
      <formula>0</formula>
    </cfRule>
  </conditionalFormatting>
  <conditionalFormatting sqref="F487">
    <cfRule type="cellIs" dxfId="5" priority="1391" operator="lessThan">
      <formula>-4100</formula>
    </cfRule>
  </conditionalFormatting>
  <conditionalFormatting sqref="F487">
    <cfRule type="cellIs" dxfId="4" priority="1392" operator="greaterThanOrEqual">
      <formula>0</formula>
    </cfRule>
  </conditionalFormatting>
  <conditionalFormatting sqref="F487">
    <cfRule type="cellIs" dxfId="5" priority="1393" operator="lessThan">
      <formula>-4100</formula>
    </cfRule>
  </conditionalFormatting>
  <conditionalFormatting sqref="F487">
    <cfRule type="cellIs" dxfId="5" priority="1394" operator="lessThan">
      <formula>-4100</formula>
    </cfRule>
  </conditionalFormatting>
  <conditionalFormatting sqref="F487">
    <cfRule type="cellIs" dxfId="4" priority="1395" operator="greaterThanOrEqual">
      <formula>0</formula>
    </cfRule>
  </conditionalFormatting>
  <conditionalFormatting sqref="F487">
    <cfRule type="cellIs" dxfId="4" priority="1396" operator="greaterThanOrEqual">
      <formula>0</formula>
    </cfRule>
  </conditionalFormatting>
  <conditionalFormatting sqref="F487">
    <cfRule type="cellIs" dxfId="5" priority="1397" operator="lessThan">
      <formula>-4100</formula>
    </cfRule>
  </conditionalFormatting>
  <conditionalFormatting sqref="F487">
    <cfRule type="cellIs" dxfId="4" priority="1398" operator="greaterThanOrEqual">
      <formula>0</formula>
    </cfRule>
  </conditionalFormatting>
  <conditionalFormatting sqref="F487">
    <cfRule type="cellIs" dxfId="5" priority="1399" operator="lessThan">
      <formula>-4100</formula>
    </cfRule>
  </conditionalFormatting>
  <conditionalFormatting sqref="E487">
    <cfRule type="cellIs" dxfId="6" priority="1400" operator="greaterThan">
      <formula>0</formula>
    </cfRule>
  </conditionalFormatting>
  <conditionalFormatting sqref="F38">
    <cfRule type="cellIs" dxfId="5" priority="1401" operator="lessThan">
      <formula>-4100</formula>
    </cfRule>
  </conditionalFormatting>
  <conditionalFormatting sqref="F38">
    <cfRule type="cellIs" dxfId="4" priority="1402" operator="greaterThanOrEqual">
      <formula>0</formula>
    </cfRule>
  </conditionalFormatting>
  <conditionalFormatting sqref="F38">
    <cfRule type="cellIs" dxfId="4" priority="1403" operator="greaterThanOrEqual">
      <formula>0</formula>
    </cfRule>
  </conditionalFormatting>
  <conditionalFormatting sqref="F38">
    <cfRule type="cellIs" dxfId="5" priority="1404" operator="lessThan">
      <formula>-4100</formula>
    </cfRule>
  </conditionalFormatting>
  <conditionalFormatting sqref="F38">
    <cfRule type="cellIs" dxfId="4" priority="1405" operator="greaterThanOrEqual">
      <formula>0</formula>
    </cfRule>
  </conditionalFormatting>
  <conditionalFormatting sqref="F38">
    <cfRule type="cellIs" dxfId="5" priority="1406" operator="lessThan">
      <formula>-4100</formula>
    </cfRule>
  </conditionalFormatting>
  <conditionalFormatting sqref="F38">
    <cfRule type="cellIs" dxfId="4" priority="1407" operator="greaterThanOrEqual">
      <formula>0</formula>
    </cfRule>
  </conditionalFormatting>
  <conditionalFormatting sqref="F38">
    <cfRule type="cellIs" dxfId="5" priority="1408" operator="lessThan">
      <formula>-4100</formula>
    </cfRule>
  </conditionalFormatting>
  <conditionalFormatting sqref="F38">
    <cfRule type="cellIs" dxfId="4" priority="1409" operator="greaterThanOrEqual">
      <formula>0</formula>
    </cfRule>
  </conditionalFormatting>
  <conditionalFormatting sqref="F38">
    <cfRule type="cellIs" dxfId="5" priority="1410" operator="lessThan">
      <formula>-4100</formula>
    </cfRule>
  </conditionalFormatting>
  <conditionalFormatting sqref="E38">
    <cfRule type="cellIs" dxfId="6" priority="1411" operator="greaterThan">
      <formula>0</formula>
    </cfRule>
  </conditionalFormatting>
  <conditionalFormatting sqref="F38">
    <cfRule type="cellIs" dxfId="4" priority="1412" operator="greaterThanOrEqual">
      <formula>0</formula>
    </cfRule>
  </conditionalFormatting>
  <conditionalFormatting sqref="F38">
    <cfRule type="cellIs" dxfId="5" priority="1413" operator="lessThan">
      <formula>-4100</formula>
    </cfRule>
  </conditionalFormatting>
  <conditionalFormatting sqref="F38">
    <cfRule type="cellIs" dxfId="4" priority="1414" operator="greaterThanOrEqual">
      <formula>0</formula>
    </cfRule>
  </conditionalFormatting>
  <conditionalFormatting sqref="F38">
    <cfRule type="cellIs" dxfId="5" priority="1415" operator="lessThan">
      <formula>-4100</formula>
    </cfRule>
  </conditionalFormatting>
  <conditionalFormatting sqref="F38">
    <cfRule type="cellIs" dxfId="4" priority="1416" operator="greaterThanOrEqual">
      <formula>0</formula>
    </cfRule>
  </conditionalFormatting>
  <conditionalFormatting sqref="F38">
    <cfRule type="cellIs" dxfId="5" priority="1417" operator="lessThan">
      <formula>-4100</formula>
    </cfRule>
  </conditionalFormatting>
  <conditionalFormatting sqref="F748">
    <cfRule type="cellIs" dxfId="5" priority="1418" operator="lessThan">
      <formula>-4100</formula>
    </cfRule>
  </conditionalFormatting>
  <conditionalFormatting sqref="F748">
    <cfRule type="cellIs" dxfId="4" priority="1419" operator="greaterThanOrEqual">
      <formula>0</formula>
    </cfRule>
  </conditionalFormatting>
  <conditionalFormatting sqref="F748">
    <cfRule type="cellIs" dxfId="4" priority="1420" operator="greaterThanOrEqual">
      <formula>0</formula>
    </cfRule>
  </conditionalFormatting>
  <conditionalFormatting sqref="F748">
    <cfRule type="cellIs" dxfId="5" priority="1421" operator="lessThan">
      <formula>-4100</formula>
    </cfRule>
  </conditionalFormatting>
  <conditionalFormatting sqref="F748">
    <cfRule type="cellIs" dxfId="4" priority="1422" operator="greaterThanOrEqual">
      <formula>0</formula>
    </cfRule>
  </conditionalFormatting>
  <conditionalFormatting sqref="F748">
    <cfRule type="cellIs" dxfId="5" priority="1423" operator="lessThan">
      <formula>-4100</formula>
    </cfRule>
  </conditionalFormatting>
  <conditionalFormatting sqref="F748">
    <cfRule type="cellIs" dxfId="4" priority="1424" operator="greaterThanOrEqual">
      <formula>0</formula>
    </cfRule>
  </conditionalFormatting>
  <conditionalFormatting sqref="F748">
    <cfRule type="cellIs" dxfId="5" priority="1425" operator="lessThan">
      <formula>-4100</formula>
    </cfRule>
  </conditionalFormatting>
  <conditionalFormatting sqref="E748">
    <cfRule type="cellIs" dxfId="6" priority="1426" operator="greaterThan">
      <formula>0</formula>
    </cfRule>
  </conditionalFormatting>
  <conditionalFormatting sqref="F142">
    <cfRule type="cellIs" dxfId="5" priority="1427" operator="lessThan">
      <formula>-4100</formula>
    </cfRule>
  </conditionalFormatting>
  <conditionalFormatting sqref="F142">
    <cfRule type="cellIs" dxfId="4" priority="1428" operator="greaterThanOrEqual">
      <formula>0</formula>
    </cfRule>
  </conditionalFormatting>
  <conditionalFormatting sqref="F142">
    <cfRule type="cellIs" dxfId="4" priority="1429" operator="greaterThanOrEqual">
      <formula>0</formula>
    </cfRule>
  </conditionalFormatting>
  <conditionalFormatting sqref="F142">
    <cfRule type="cellIs" dxfId="5" priority="1430" operator="lessThan">
      <formula>-4100</formula>
    </cfRule>
  </conditionalFormatting>
  <conditionalFormatting sqref="F142">
    <cfRule type="cellIs" dxfId="4" priority="1431" operator="greaterThanOrEqual">
      <formula>0</formula>
    </cfRule>
  </conditionalFormatting>
  <conditionalFormatting sqref="F142">
    <cfRule type="cellIs" dxfId="5" priority="1432" operator="lessThan">
      <formula>-4100</formula>
    </cfRule>
  </conditionalFormatting>
  <conditionalFormatting sqref="F142">
    <cfRule type="cellIs" dxfId="4" priority="1433" operator="greaterThanOrEqual">
      <formula>0</formula>
    </cfRule>
  </conditionalFormatting>
  <conditionalFormatting sqref="F142">
    <cfRule type="cellIs" dxfId="5" priority="1434" operator="lessThan">
      <formula>-4100</formula>
    </cfRule>
  </conditionalFormatting>
  <conditionalFormatting sqref="E142">
    <cfRule type="cellIs" dxfId="6" priority="1435" operator="greaterThan">
      <formula>0</formula>
    </cfRule>
  </conditionalFormatting>
  <conditionalFormatting sqref="F132">
    <cfRule type="cellIs" dxfId="5" priority="1436" operator="lessThan">
      <formula>-4100</formula>
    </cfRule>
  </conditionalFormatting>
  <conditionalFormatting sqref="F132">
    <cfRule type="cellIs" dxfId="4" priority="1437" operator="greaterThanOrEqual">
      <formula>0</formula>
    </cfRule>
  </conditionalFormatting>
  <conditionalFormatting sqref="F132">
    <cfRule type="cellIs" dxfId="4" priority="1438" operator="greaterThanOrEqual">
      <formula>0</formula>
    </cfRule>
  </conditionalFormatting>
  <conditionalFormatting sqref="F132">
    <cfRule type="cellIs" dxfId="5" priority="1439" operator="lessThan">
      <formula>-4100</formula>
    </cfRule>
  </conditionalFormatting>
  <conditionalFormatting sqref="F132">
    <cfRule type="cellIs" dxfId="4" priority="1440" operator="greaterThanOrEqual">
      <formula>0</formula>
    </cfRule>
  </conditionalFormatting>
  <conditionalFormatting sqref="F132">
    <cfRule type="cellIs" dxfId="5" priority="1441" operator="lessThan">
      <formula>-4100</formula>
    </cfRule>
  </conditionalFormatting>
  <conditionalFormatting sqref="F132">
    <cfRule type="cellIs" dxfId="4" priority="1442" operator="greaterThanOrEqual">
      <formula>0</formula>
    </cfRule>
  </conditionalFormatting>
  <conditionalFormatting sqref="F132">
    <cfRule type="cellIs" dxfId="5" priority="1443" operator="lessThan">
      <formula>-4100</formula>
    </cfRule>
  </conditionalFormatting>
  <conditionalFormatting sqref="E132">
    <cfRule type="cellIs" dxfId="6" priority="1444" operator="greaterThan">
      <formula>0</formula>
    </cfRule>
  </conditionalFormatting>
  <conditionalFormatting sqref="F813">
    <cfRule type="cellIs" dxfId="4" priority="1445" operator="greaterThanOrEqual">
      <formula>0</formula>
    </cfRule>
  </conditionalFormatting>
  <conditionalFormatting sqref="F813">
    <cfRule type="cellIs" dxfId="5" priority="1446" operator="lessThan">
      <formula>-4100</formula>
    </cfRule>
  </conditionalFormatting>
  <conditionalFormatting sqref="F813">
    <cfRule type="cellIs" dxfId="4" priority="1447" operator="greaterThanOrEqual">
      <formula>0</formula>
    </cfRule>
  </conditionalFormatting>
  <conditionalFormatting sqref="F813">
    <cfRule type="cellIs" dxfId="5" priority="1448" operator="lessThan">
      <formula>-4100</formula>
    </cfRule>
  </conditionalFormatting>
  <conditionalFormatting sqref="F813">
    <cfRule type="cellIs" dxfId="4" priority="1449" operator="greaterThanOrEqual">
      <formula>0</formula>
    </cfRule>
  </conditionalFormatting>
  <conditionalFormatting sqref="F813">
    <cfRule type="cellIs" dxfId="5" priority="1450" operator="lessThan">
      <formula>-4100</formula>
    </cfRule>
  </conditionalFormatting>
  <conditionalFormatting sqref="F813">
    <cfRule type="cellIs" dxfId="4" priority="1451" operator="greaterThanOrEqual">
      <formula>0</formula>
    </cfRule>
  </conditionalFormatting>
  <conditionalFormatting sqref="F813">
    <cfRule type="cellIs" dxfId="5" priority="1452" operator="lessThan">
      <formula>-4100</formula>
    </cfRule>
  </conditionalFormatting>
  <conditionalFormatting sqref="F813">
    <cfRule type="cellIs" dxfId="4" priority="1453" operator="greaterThanOrEqual">
      <formula>0</formula>
    </cfRule>
  </conditionalFormatting>
  <conditionalFormatting sqref="F813">
    <cfRule type="cellIs" dxfId="5" priority="1454" operator="lessThan">
      <formula>-4100</formula>
    </cfRule>
  </conditionalFormatting>
  <conditionalFormatting sqref="F813">
    <cfRule type="cellIs" dxfId="4" priority="1455" operator="greaterThanOrEqual">
      <formula>0</formula>
    </cfRule>
  </conditionalFormatting>
  <conditionalFormatting sqref="F813">
    <cfRule type="cellIs" dxfId="5" priority="1456" operator="lessThan">
      <formula>-4100</formula>
    </cfRule>
  </conditionalFormatting>
  <conditionalFormatting sqref="F813">
    <cfRule type="cellIs" dxfId="4" priority="1457" operator="greaterThanOrEqual">
      <formula>0</formula>
    </cfRule>
  </conditionalFormatting>
  <conditionalFormatting sqref="F813">
    <cfRule type="cellIs" dxfId="5" priority="1458" operator="lessThan">
      <formula>-4100</formula>
    </cfRule>
  </conditionalFormatting>
  <conditionalFormatting sqref="F813">
    <cfRule type="cellIs" dxfId="4" priority="1459" operator="greaterThanOrEqual">
      <formula>0</formula>
    </cfRule>
  </conditionalFormatting>
  <conditionalFormatting sqref="F813">
    <cfRule type="cellIs" dxfId="5" priority="1460" operator="lessThan">
      <formula>-4100</formula>
    </cfRule>
  </conditionalFormatting>
  <conditionalFormatting sqref="E813">
    <cfRule type="cellIs" dxfId="6" priority="1461" operator="greaterThan">
      <formula>0</formula>
    </cfRule>
  </conditionalFormatting>
  <conditionalFormatting sqref="F482">
    <cfRule type="cellIs" dxfId="5" priority="1462" operator="lessThan">
      <formula>-4100</formula>
    </cfRule>
  </conditionalFormatting>
  <conditionalFormatting sqref="F482">
    <cfRule type="cellIs" dxfId="4" priority="1463" operator="greaterThanOrEqual">
      <formula>0</formula>
    </cfRule>
  </conditionalFormatting>
  <conditionalFormatting sqref="F482">
    <cfRule type="cellIs" dxfId="4" priority="1464" operator="greaterThanOrEqual">
      <formula>0</formula>
    </cfRule>
  </conditionalFormatting>
  <conditionalFormatting sqref="F482">
    <cfRule type="cellIs" dxfId="5" priority="1465" operator="lessThan">
      <formula>-4100</formula>
    </cfRule>
  </conditionalFormatting>
  <conditionalFormatting sqref="F482">
    <cfRule type="cellIs" dxfId="4" priority="1466" operator="greaterThanOrEqual">
      <formula>0</formula>
    </cfRule>
  </conditionalFormatting>
  <conditionalFormatting sqref="F482">
    <cfRule type="cellIs" dxfId="5" priority="1467" operator="lessThan">
      <formula>-4100</formula>
    </cfRule>
  </conditionalFormatting>
  <conditionalFormatting sqref="F482">
    <cfRule type="cellIs" dxfId="4" priority="1468" operator="greaterThanOrEqual">
      <formula>0</formula>
    </cfRule>
  </conditionalFormatting>
  <conditionalFormatting sqref="F482">
    <cfRule type="cellIs" dxfId="5" priority="1469" operator="lessThan">
      <formula>-4100</formula>
    </cfRule>
  </conditionalFormatting>
  <conditionalFormatting sqref="F482">
    <cfRule type="cellIs" dxfId="4" priority="1470" operator="greaterThanOrEqual">
      <formula>0</formula>
    </cfRule>
  </conditionalFormatting>
  <conditionalFormatting sqref="F482">
    <cfRule type="cellIs" dxfId="5" priority="1471" operator="lessThan">
      <formula>-4100</formula>
    </cfRule>
  </conditionalFormatting>
  <conditionalFormatting sqref="F482">
    <cfRule type="cellIs" dxfId="5" priority="1472" operator="lessThan">
      <formula>-4100</formula>
    </cfRule>
  </conditionalFormatting>
  <conditionalFormatting sqref="F482">
    <cfRule type="cellIs" dxfId="4" priority="1473" operator="greaterThanOrEqual">
      <formula>0</formula>
    </cfRule>
  </conditionalFormatting>
  <conditionalFormatting sqref="F482">
    <cfRule type="cellIs" dxfId="4" priority="1474" operator="greaterThanOrEqual">
      <formula>0</formula>
    </cfRule>
  </conditionalFormatting>
  <conditionalFormatting sqref="F482">
    <cfRule type="cellIs" dxfId="5" priority="1475" operator="lessThan">
      <formula>-4100</formula>
    </cfRule>
  </conditionalFormatting>
  <conditionalFormatting sqref="F482">
    <cfRule type="cellIs" dxfId="4" priority="1476" operator="greaterThanOrEqual">
      <formula>0</formula>
    </cfRule>
  </conditionalFormatting>
  <conditionalFormatting sqref="F482">
    <cfRule type="cellIs" dxfId="5" priority="1477" operator="lessThan">
      <formula>-4100</formula>
    </cfRule>
  </conditionalFormatting>
  <conditionalFormatting sqref="E482">
    <cfRule type="cellIs" dxfId="6" priority="1478" operator="greaterThan">
      <formula>0</formula>
    </cfRule>
  </conditionalFormatting>
  <conditionalFormatting sqref="F607">
    <cfRule type="cellIs" dxfId="5" priority="1479" operator="lessThan">
      <formula>-4100</formula>
    </cfRule>
  </conditionalFormatting>
  <conditionalFormatting sqref="F607">
    <cfRule type="cellIs" dxfId="4" priority="1480" operator="greaterThanOrEqual">
      <formula>0</formula>
    </cfRule>
  </conditionalFormatting>
  <conditionalFormatting sqref="F607">
    <cfRule type="cellIs" dxfId="4" priority="1481" operator="greaterThanOrEqual">
      <formula>0</formula>
    </cfRule>
  </conditionalFormatting>
  <conditionalFormatting sqref="F607">
    <cfRule type="cellIs" dxfId="5" priority="1482" operator="lessThan">
      <formula>-4100</formula>
    </cfRule>
  </conditionalFormatting>
  <conditionalFormatting sqref="F607">
    <cfRule type="cellIs" dxfId="4" priority="1483" operator="greaterThanOrEqual">
      <formula>0</formula>
    </cfRule>
  </conditionalFormatting>
  <conditionalFormatting sqref="F607">
    <cfRule type="cellIs" dxfId="5" priority="1484" operator="lessThan">
      <formula>-4100</formula>
    </cfRule>
  </conditionalFormatting>
  <conditionalFormatting sqref="F607">
    <cfRule type="cellIs" dxfId="4" priority="1485" operator="greaterThanOrEqual">
      <formula>0</formula>
    </cfRule>
  </conditionalFormatting>
  <conditionalFormatting sqref="F607">
    <cfRule type="cellIs" dxfId="5" priority="1486" operator="lessThan">
      <formula>-4100</formula>
    </cfRule>
  </conditionalFormatting>
  <conditionalFormatting sqref="F607">
    <cfRule type="cellIs" dxfId="4" priority="1487" operator="greaterThanOrEqual">
      <formula>0</formula>
    </cfRule>
  </conditionalFormatting>
  <conditionalFormatting sqref="F607">
    <cfRule type="cellIs" dxfId="5" priority="1488" operator="lessThan">
      <formula>-4100</formula>
    </cfRule>
  </conditionalFormatting>
  <conditionalFormatting sqref="F607">
    <cfRule type="cellIs" dxfId="5" priority="1489" operator="lessThan">
      <formula>-4100</formula>
    </cfRule>
  </conditionalFormatting>
  <conditionalFormatting sqref="F607">
    <cfRule type="cellIs" dxfId="4" priority="1490" operator="greaterThanOrEqual">
      <formula>0</formula>
    </cfRule>
  </conditionalFormatting>
  <conditionalFormatting sqref="F607">
    <cfRule type="cellIs" dxfId="4" priority="1491" operator="greaterThanOrEqual">
      <formula>0</formula>
    </cfRule>
  </conditionalFormatting>
  <conditionalFormatting sqref="F607">
    <cfRule type="cellIs" dxfId="5" priority="1492" operator="lessThan">
      <formula>-4100</formula>
    </cfRule>
  </conditionalFormatting>
  <conditionalFormatting sqref="F607">
    <cfRule type="cellIs" dxfId="4" priority="1493" operator="greaterThanOrEqual">
      <formula>0</formula>
    </cfRule>
  </conditionalFormatting>
  <conditionalFormatting sqref="F607">
    <cfRule type="cellIs" dxfId="5" priority="1494" operator="lessThan">
      <formula>-4100</formula>
    </cfRule>
  </conditionalFormatting>
  <conditionalFormatting sqref="E607">
    <cfRule type="cellIs" dxfId="6" priority="1495" operator="greaterThan">
      <formula>0</formula>
    </cfRule>
  </conditionalFormatting>
  <conditionalFormatting sqref="F477">
    <cfRule type="cellIs" dxfId="5" priority="1496" operator="lessThan">
      <formula>-4100</formula>
    </cfRule>
  </conditionalFormatting>
  <conditionalFormatting sqref="F477">
    <cfRule type="cellIs" dxfId="4" priority="1497" operator="greaterThanOrEqual">
      <formula>0</formula>
    </cfRule>
  </conditionalFormatting>
  <conditionalFormatting sqref="F477">
    <cfRule type="cellIs" dxfId="4" priority="1498" operator="greaterThanOrEqual">
      <formula>0</formula>
    </cfRule>
  </conditionalFormatting>
  <conditionalFormatting sqref="F477">
    <cfRule type="cellIs" dxfId="5" priority="1499" operator="lessThan">
      <formula>-4100</formula>
    </cfRule>
  </conditionalFormatting>
  <conditionalFormatting sqref="F477">
    <cfRule type="cellIs" dxfId="4" priority="1500" operator="greaterThanOrEqual">
      <formula>0</formula>
    </cfRule>
  </conditionalFormatting>
  <conditionalFormatting sqref="F477">
    <cfRule type="cellIs" dxfId="5" priority="1501" operator="lessThan">
      <formula>-4100</formula>
    </cfRule>
  </conditionalFormatting>
  <conditionalFormatting sqref="F477">
    <cfRule type="cellIs" dxfId="4" priority="1502" operator="greaterThanOrEqual">
      <formula>0</formula>
    </cfRule>
  </conditionalFormatting>
  <conditionalFormatting sqref="F477">
    <cfRule type="cellIs" dxfId="5" priority="1503" operator="lessThan">
      <formula>-4100</formula>
    </cfRule>
  </conditionalFormatting>
  <conditionalFormatting sqref="F477">
    <cfRule type="cellIs" dxfId="4" priority="1504" operator="greaterThanOrEqual">
      <formula>0</formula>
    </cfRule>
  </conditionalFormatting>
  <conditionalFormatting sqref="F477">
    <cfRule type="cellIs" dxfId="5" priority="1505" operator="lessThan">
      <formula>-4100</formula>
    </cfRule>
  </conditionalFormatting>
  <conditionalFormatting sqref="F477">
    <cfRule type="cellIs" dxfId="5" priority="1506" operator="lessThan">
      <formula>-4100</formula>
    </cfRule>
  </conditionalFormatting>
  <conditionalFormatting sqref="F477">
    <cfRule type="cellIs" dxfId="4" priority="1507" operator="greaterThanOrEqual">
      <formula>0</formula>
    </cfRule>
  </conditionalFormatting>
  <conditionalFormatting sqref="F477">
    <cfRule type="cellIs" dxfId="4" priority="1508" operator="greaterThanOrEqual">
      <formula>0</formula>
    </cfRule>
  </conditionalFormatting>
  <conditionalFormatting sqref="F477">
    <cfRule type="cellIs" dxfId="5" priority="1509" operator="lessThan">
      <formula>-4100</formula>
    </cfRule>
  </conditionalFormatting>
  <conditionalFormatting sqref="F477">
    <cfRule type="cellIs" dxfId="4" priority="1510" operator="greaterThanOrEqual">
      <formula>0</formula>
    </cfRule>
  </conditionalFormatting>
  <conditionalFormatting sqref="F477">
    <cfRule type="cellIs" dxfId="5" priority="1511" operator="lessThan">
      <formula>-4100</formula>
    </cfRule>
  </conditionalFormatting>
  <conditionalFormatting sqref="E477">
    <cfRule type="cellIs" dxfId="6" priority="1512" operator="greaterThan">
      <formula>0</formula>
    </cfRule>
  </conditionalFormatting>
  <conditionalFormatting sqref="F392">
    <cfRule type="cellIs" dxfId="5" priority="1513" operator="lessThan">
      <formula>-4100</formula>
    </cfRule>
  </conditionalFormatting>
  <conditionalFormatting sqref="F392">
    <cfRule type="cellIs" dxfId="4" priority="1514" operator="greaterThanOrEqual">
      <formula>0</formula>
    </cfRule>
  </conditionalFormatting>
  <conditionalFormatting sqref="F392">
    <cfRule type="cellIs" dxfId="4" priority="1515" operator="greaterThanOrEqual">
      <formula>0</formula>
    </cfRule>
  </conditionalFormatting>
  <conditionalFormatting sqref="F392">
    <cfRule type="cellIs" dxfId="5" priority="1516" operator="lessThan">
      <formula>-4100</formula>
    </cfRule>
  </conditionalFormatting>
  <conditionalFormatting sqref="F392">
    <cfRule type="cellIs" dxfId="4" priority="1517" operator="greaterThanOrEqual">
      <formula>0</formula>
    </cfRule>
  </conditionalFormatting>
  <conditionalFormatting sqref="F392">
    <cfRule type="cellIs" dxfId="5" priority="1518" operator="lessThan">
      <formula>-4100</formula>
    </cfRule>
  </conditionalFormatting>
  <conditionalFormatting sqref="F392">
    <cfRule type="cellIs" dxfId="4" priority="1519" operator="greaterThanOrEqual">
      <formula>0</formula>
    </cfRule>
  </conditionalFormatting>
  <conditionalFormatting sqref="F392">
    <cfRule type="cellIs" dxfId="5" priority="1520" operator="lessThan">
      <formula>-4100</formula>
    </cfRule>
  </conditionalFormatting>
  <conditionalFormatting sqref="F392">
    <cfRule type="cellIs" dxfId="4" priority="1521" operator="greaterThanOrEqual">
      <formula>0</formula>
    </cfRule>
  </conditionalFormatting>
  <conditionalFormatting sqref="F392">
    <cfRule type="cellIs" dxfId="5" priority="1522" operator="lessThan">
      <formula>-4100</formula>
    </cfRule>
  </conditionalFormatting>
  <conditionalFormatting sqref="F392">
    <cfRule type="cellIs" dxfId="5" priority="1523" operator="lessThan">
      <formula>-4100</formula>
    </cfRule>
  </conditionalFormatting>
  <conditionalFormatting sqref="F392">
    <cfRule type="cellIs" dxfId="4" priority="1524" operator="greaterThanOrEqual">
      <formula>0</formula>
    </cfRule>
  </conditionalFormatting>
  <conditionalFormatting sqref="F392">
    <cfRule type="cellIs" dxfId="4" priority="1525" operator="greaterThanOrEqual">
      <formula>0</formula>
    </cfRule>
  </conditionalFormatting>
  <conditionalFormatting sqref="F392">
    <cfRule type="cellIs" dxfId="5" priority="1526" operator="lessThan">
      <formula>-4100</formula>
    </cfRule>
  </conditionalFormatting>
  <conditionalFormatting sqref="F392">
    <cfRule type="cellIs" dxfId="4" priority="1527" operator="greaterThanOrEqual">
      <formula>0</formula>
    </cfRule>
  </conditionalFormatting>
  <conditionalFormatting sqref="F392">
    <cfRule type="cellIs" dxfId="5" priority="1528" operator="lessThan">
      <formula>-4100</formula>
    </cfRule>
  </conditionalFormatting>
  <conditionalFormatting sqref="E392">
    <cfRule type="cellIs" dxfId="6" priority="1529" operator="greaterThan">
      <formula>0</formula>
    </cfRule>
  </conditionalFormatting>
  <conditionalFormatting sqref="F422">
    <cfRule type="cellIs" dxfId="5" priority="1530" operator="lessThan">
      <formula>-4100</formula>
    </cfRule>
  </conditionalFormatting>
  <conditionalFormatting sqref="F422">
    <cfRule type="cellIs" dxfId="4" priority="1531" operator="greaterThanOrEqual">
      <formula>0</formula>
    </cfRule>
  </conditionalFormatting>
  <conditionalFormatting sqref="F422">
    <cfRule type="cellIs" dxfId="4" priority="1532" operator="greaterThanOrEqual">
      <formula>0</formula>
    </cfRule>
  </conditionalFormatting>
  <conditionalFormatting sqref="F422">
    <cfRule type="cellIs" dxfId="5" priority="1533" operator="lessThan">
      <formula>-4100</formula>
    </cfRule>
  </conditionalFormatting>
  <conditionalFormatting sqref="F422">
    <cfRule type="cellIs" dxfId="4" priority="1534" operator="greaterThanOrEqual">
      <formula>0</formula>
    </cfRule>
  </conditionalFormatting>
  <conditionalFormatting sqref="F422">
    <cfRule type="cellIs" dxfId="5" priority="1535" operator="lessThan">
      <formula>-4100</formula>
    </cfRule>
  </conditionalFormatting>
  <conditionalFormatting sqref="F422">
    <cfRule type="cellIs" dxfId="4" priority="1536" operator="greaterThanOrEqual">
      <formula>0</formula>
    </cfRule>
  </conditionalFormatting>
  <conditionalFormatting sqref="F422">
    <cfRule type="cellIs" dxfId="5" priority="1537" operator="lessThan">
      <formula>-4100</formula>
    </cfRule>
  </conditionalFormatting>
  <conditionalFormatting sqref="F422">
    <cfRule type="cellIs" dxfId="4" priority="1538" operator="greaterThanOrEqual">
      <formula>0</formula>
    </cfRule>
  </conditionalFormatting>
  <conditionalFormatting sqref="F422">
    <cfRule type="cellIs" dxfId="5" priority="1539" operator="lessThan">
      <formula>-4100</formula>
    </cfRule>
  </conditionalFormatting>
  <conditionalFormatting sqref="F422">
    <cfRule type="cellIs" dxfId="5" priority="1540" operator="lessThan">
      <formula>-4100</formula>
    </cfRule>
  </conditionalFormatting>
  <conditionalFormatting sqref="F422">
    <cfRule type="cellIs" dxfId="4" priority="1541" operator="greaterThanOrEqual">
      <formula>0</formula>
    </cfRule>
  </conditionalFormatting>
  <conditionalFormatting sqref="F422">
    <cfRule type="cellIs" dxfId="4" priority="1542" operator="greaterThanOrEqual">
      <formula>0</formula>
    </cfRule>
  </conditionalFormatting>
  <conditionalFormatting sqref="F422">
    <cfRule type="cellIs" dxfId="5" priority="1543" operator="lessThan">
      <formula>-4100</formula>
    </cfRule>
  </conditionalFormatting>
  <conditionalFormatting sqref="F422">
    <cfRule type="cellIs" dxfId="4" priority="1544" operator="greaterThanOrEqual">
      <formula>0</formula>
    </cfRule>
  </conditionalFormatting>
  <conditionalFormatting sqref="F422">
    <cfRule type="cellIs" dxfId="5" priority="1545" operator="lessThan">
      <formula>-4100</formula>
    </cfRule>
  </conditionalFormatting>
  <conditionalFormatting sqref="E422">
    <cfRule type="cellIs" dxfId="6" priority="1546" operator="greaterThan">
      <formula>0</formula>
    </cfRule>
  </conditionalFormatting>
  <conditionalFormatting sqref="F808">
    <cfRule type="cellIs" dxfId="4" priority="1547" operator="greaterThanOrEqual">
      <formula>0</formula>
    </cfRule>
  </conditionalFormatting>
  <conditionalFormatting sqref="F808">
    <cfRule type="cellIs" dxfId="5" priority="1548" operator="lessThan">
      <formula>-4100</formula>
    </cfRule>
  </conditionalFormatting>
  <conditionalFormatting sqref="F808">
    <cfRule type="cellIs" dxfId="4" priority="1549" operator="greaterThanOrEqual">
      <formula>0</formula>
    </cfRule>
  </conditionalFormatting>
  <conditionalFormatting sqref="F808">
    <cfRule type="cellIs" dxfId="5" priority="1550" operator="lessThan">
      <formula>-4100</formula>
    </cfRule>
  </conditionalFormatting>
  <conditionalFormatting sqref="F808">
    <cfRule type="cellIs" dxfId="4" priority="1551" operator="greaterThanOrEqual">
      <formula>0</formula>
    </cfRule>
  </conditionalFormatting>
  <conditionalFormatting sqref="F808">
    <cfRule type="cellIs" dxfId="5" priority="1552" operator="lessThan">
      <formula>-4100</formula>
    </cfRule>
  </conditionalFormatting>
  <conditionalFormatting sqref="F808">
    <cfRule type="cellIs" dxfId="4" priority="1553" operator="greaterThanOrEqual">
      <formula>0</formula>
    </cfRule>
  </conditionalFormatting>
  <conditionalFormatting sqref="F808">
    <cfRule type="cellIs" dxfId="5" priority="1554" operator="lessThan">
      <formula>-4100</formula>
    </cfRule>
  </conditionalFormatting>
  <conditionalFormatting sqref="F808">
    <cfRule type="cellIs" dxfId="4" priority="1555" operator="greaterThanOrEqual">
      <formula>0</formula>
    </cfRule>
  </conditionalFormatting>
  <conditionalFormatting sqref="F808">
    <cfRule type="cellIs" dxfId="5" priority="1556" operator="lessThan">
      <formula>-4100</formula>
    </cfRule>
  </conditionalFormatting>
  <conditionalFormatting sqref="F808">
    <cfRule type="cellIs" dxfId="4" priority="1557" operator="greaterThanOrEqual">
      <formula>0</formula>
    </cfRule>
  </conditionalFormatting>
  <conditionalFormatting sqref="F808">
    <cfRule type="cellIs" dxfId="5" priority="1558" operator="lessThan">
      <formula>-4100</formula>
    </cfRule>
  </conditionalFormatting>
  <conditionalFormatting sqref="F808">
    <cfRule type="cellIs" dxfId="4" priority="1559" operator="greaterThanOrEqual">
      <formula>0</formula>
    </cfRule>
  </conditionalFormatting>
  <conditionalFormatting sqref="F808">
    <cfRule type="cellIs" dxfId="5" priority="1560" operator="lessThan">
      <formula>-4100</formula>
    </cfRule>
  </conditionalFormatting>
  <conditionalFormatting sqref="F808">
    <cfRule type="cellIs" dxfId="4" priority="1561" operator="greaterThanOrEqual">
      <formula>0</formula>
    </cfRule>
  </conditionalFormatting>
  <conditionalFormatting sqref="F808">
    <cfRule type="cellIs" dxfId="5" priority="1562" operator="lessThan">
      <formula>-4100</formula>
    </cfRule>
  </conditionalFormatting>
  <conditionalFormatting sqref="E808">
    <cfRule type="cellIs" dxfId="6" priority="1563" operator="greaterThan">
      <formula>0</formula>
    </cfRule>
  </conditionalFormatting>
  <conditionalFormatting sqref="F547">
    <cfRule type="cellIs" dxfId="4" priority="1564" operator="greaterThanOrEqual">
      <formula>0</formula>
    </cfRule>
  </conditionalFormatting>
  <conditionalFormatting sqref="F547">
    <cfRule type="cellIs" dxfId="5" priority="1565" operator="lessThan">
      <formula>-4100</formula>
    </cfRule>
  </conditionalFormatting>
  <conditionalFormatting sqref="F547">
    <cfRule type="cellIs" dxfId="4" priority="1566" operator="greaterThanOrEqual">
      <formula>0</formula>
    </cfRule>
  </conditionalFormatting>
  <conditionalFormatting sqref="F547">
    <cfRule type="cellIs" dxfId="5" priority="1567" operator="lessThan">
      <formula>-4100</formula>
    </cfRule>
  </conditionalFormatting>
  <conditionalFormatting sqref="E547">
    <cfRule type="cellIs" dxfId="6" priority="1568" operator="greaterThan">
      <formula>0</formula>
    </cfRule>
  </conditionalFormatting>
  <conditionalFormatting sqref="F547">
    <cfRule type="cellIs" dxfId="4" priority="1569" operator="greaterThanOrEqual">
      <formula>0</formula>
    </cfRule>
  </conditionalFormatting>
  <conditionalFormatting sqref="F547">
    <cfRule type="cellIs" dxfId="5" priority="1570" operator="lessThan">
      <formula>-4100</formula>
    </cfRule>
  </conditionalFormatting>
  <conditionalFormatting sqref="F547">
    <cfRule type="cellIs" dxfId="4" priority="1571" operator="greaterThanOrEqual">
      <formula>0</formula>
    </cfRule>
  </conditionalFormatting>
  <conditionalFormatting sqref="F547">
    <cfRule type="cellIs" dxfId="5" priority="1572" operator="lessThan">
      <formula>-4100</formula>
    </cfRule>
  </conditionalFormatting>
  <conditionalFormatting sqref="F547">
    <cfRule type="cellIs" dxfId="4" priority="1573" operator="greaterThanOrEqual">
      <formula>0</formula>
    </cfRule>
  </conditionalFormatting>
  <conditionalFormatting sqref="F547">
    <cfRule type="cellIs" dxfId="5" priority="1574" operator="lessThan">
      <formula>-4100</formula>
    </cfRule>
  </conditionalFormatting>
  <conditionalFormatting sqref="F547">
    <cfRule type="cellIs" dxfId="4" priority="1575" operator="greaterThanOrEqual">
      <formula>0</formula>
    </cfRule>
  </conditionalFormatting>
  <conditionalFormatting sqref="F547">
    <cfRule type="cellIs" dxfId="5" priority="1576" operator="lessThan">
      <formula>-4100</formula>
    </cfRule>
  </conditionalFormatting>
  <conditionalFormatting sqref="F547">
    <cfRule type="cellIs" dxfId="4" priority="1577" operator="greaterThanOrEqual">
      <formula>0</formula>
    </cfRule>
  </conditionalFormatting>
  <conditionalFormatting sqref="F547">
    <cfRule type="cellIs" dxfId="5" priority="1578" operator="lessThan">
      <formula>-4100</formula>
    </cfRule>
  </conditionalFormatting>
  <conditionalFormatting sqref="F547">
    <cfRule type="cellIs" dxfId="4" priority="1579" operator="greaterThanOrEqual">
      <formula>0</formula>
    </cfRule>
  </conditionalFormatting>
  <conditionalFormatting sqref="F547">
    <cfRule type="cellIs" dxfId="5" priority="1580" operator="lessThan">
      <formula>-4100</formula>
    </cfRule>
  </conditionalFormatting>
  <conditionalFormatting sqref="F95">
    <cfRule type="cellIs" dxfId="4" priority="1581" operator="greaterThanOrEqual">
      <formula>0</formula>
    </cfRule>
  </conditionalFormatting>
  <conditionalFormatting sqref="F95">
    <cfRule type="cellIs" dxfId="5" priority="1582" operator="lessThan">
      <formula>-4100</formula>
    </cfRule>
  </conditionalFormatting>
  <conditionalFormatting sqref="F95">
    <cfRule type="cellIs" dxfId="4" priority="1583" operator="greaterThanOrEqual">
      <formula>0</formula>
    </cfRule>
  </conditionalFormatting>
  <conditionalFormatting sqref="F95">
    <cfRule type="cellIs" dxfId="5" priority="1584" operator="lessThan">
      <formula>-4100</formula>
    </cfRule>
  </conditionalFormatting>
  <conditionalFormatting sqref="F95">
    <cfRule type="cellIs" dxfId="4" priority="1585" operator="greaterThanOrEqual">
      <formula>0</formula>
    </cfRule>
  </conditionalFormatting>
  <conditionalFormatting sqref="F95">
    <cfRule type="cellIs" dxfId="5" priority="1586" operator="lessThan">
      <formula>-4100</formula>
    </cfRule>
  </conditionalFormatting>
  <conditionalFormatting sqref="F95">
    <cfRule type="cellIs" dxfId="4" priority="1587" operator="greaterThanOrEqual">
      <formula>0</formula>
    </cfRule>
  </conditionalFormatting>
  <conditionalFormatting sqref="F95">
    <cfRule type="cellIs" dxfId="5" priority="1588" operator="lessThan">
      <formula>-4100</formula>
    </cfRule>
  </conditionalFormatting>
  <conditionalFormatting sqref="F95">
    <cfRule type="cellIs" dxfId="4" priority="1589" operator="greaterThanOrEqual">
      <formula>0</formula>
    </cfRule>
  </conditionalFormatting>
  <conditionalFormatting sqref="F95">
    <cfRule type="cellIs" dxfId="5" priority="1590" operator="lessThan">
      <formula>-4100</formula>
    </cfRule>
  </conditionalFormatting>
  <conditionalFormatting sqref="F95">
    <cfRule type="cellIs" dxfId="4" priority="1591" operator="greaterThanOrEqual">
      <formula>0</formula>
    </cfRule>
  </conditionalFormatting>
  <conditionalFormatting sqref="F95">
    <cfRule type="cellIs" dxfId="5" priority="1592" operator="lessThan">
      <formula>-4100</formula>
    </cfRule>
  </conditionalFormatting>
  <conditionalFormatting sqref="F95">
    <cfRule type="cellIs" dxfId="4" priority="1593" operator="greaterThanOrEqual">
      <formula>0</formula>
    </cfRule>
  </conditionalFormatting>
  <conditionalFormatting sqref="F95">
    <cfRule type="cellIs" dxfId="5" priority="1594" operator="lessThan">
      <formula>-4100</formula>
    </cfRule>
  </conditionalFormatting>
  <conditionalFormatting sqref="F95">
    <cfRule type="cellIs" dxfId="4" priority="1595" operator="greaterThanOrEqual">
      <formula>0</formula>
    </cfRule>
  </conditionalFormatting>
  <conditionalFormatting sqref="F95">
    <cfRule type="cellIs" dxfId="5" priority="1596" operator="lessThan">
      <formula>-4100</formula>
    </cfRule>
  </conditionalFormatting>
  <conditionalFormatting sqref="E95">
    <cfRule type="cellIs" dxfId="6" priority="1597" operator="greaterThan">
      <formula>0</formula>
    </cfRule>
  </conditionalFormatting>
  <conditionalFormatting sqref="F612">
    <cfRule type="cellIs" dxfId="5" priority="1598" operator="lessThan">
      <formula>-4100</formula>
    </cfRule>
  </conditionalFormatting>
  <conditionalFormatting sqref="F612">
    <cfRule type="cellIs" dxfId="4" priority="1599" operator="greaterThanOrEqual">
      <formula>0</formula>
    </cfRule>
  </conditionalFormatting>
  <conditionalFormatting sqref="F612">
    <cfRule type="cellIs" dxfId="4" priority="1600" operator="greaterThanOrEqual">
      <formula>0</formula>
    </cfRule>
  </conditionalFormatting>
  <conditionalFormatting sqref="F612">
    <cfRule type="cellIs" dxfId="5" priority="1601" operator="lessThan">
      <formula>-4100</formula>
    </cfRule>
  </conditionalFormatting>
  <conditionalFormatting sqref="F612">
    <cfRule type="cellIs" dxfId="4" priority="1602" operator="greaterThanOrEqual">
      <formula>0</formula>
    </cfRule>
  </conditionalFormatting>
  <conditionalFormatting sqref="F612">
    <cfRule type="cellIs" dxfId="5" priority="1603" operator="lessThan">
      <formula>-4100</formula>
    </cfRule>
  </conditionalFormatting>
  <conditionalFormatting sqref="F612">
    <cfRule type="cellIs" dxfId="4" priority="1604" operator="greaterThanOrEqual">
      <formula>0</formula>
    </cfRule>
  </conditionalFormatting>
  <conditionalFormatting sqref="F612">
    <cfRule type="cellIs" dxfId="5" priority="1605" operator="lessThan">
      <formula>-4100</formula>
    </cfRule>
  </conditionalFormatting>
  <conditionalFormatting sqref="F612">
    <cfRule type="cellIs" dxfId="4" priority="1606" operator="greaterThanOrEqual">
      <formula>0</formula>
    </cfRule>
  </conditionalFormatting>
  <conditionalFormatting sqref="F612">
    <cfRule type="cellIs" dxfId="5" priority="1607" operator="lessThan">
      <formula>-4100</formula>
    </cfRule>
  </conditionalFormatting>
  <conditionalFormatting sqref="F612">
    <cfRule type="cellIs" dxfId="5" priority="1608" operator="lessThan">
      <formula>-4100</formula>
    </cfRule>
  </conditionalFormatting>
  <conditionalFormatting sqref="F612">
    <cfRule type="cellIs" dxfId="4" priority="1609" operator="greaterThanOrEqual">
      <formula>0</formula>
    </cfRule>
  </conditionalFormatting>
  <conditionalFormatting sqref="F612">
    <cfRule type="cellIs" dxfId="4" priority="1610" operator="greaterThanOrEqual">
      <formula>0</formula>
    </cfRule>
  </conditionalFormatting>
  <conditionalFormatting sqref="F612">
    <cfRule type="cellIs" dxfId="5" priority="1611" operator="lessThan">
      <formula>-4100</formula>
    </cfRule>
  </conditionalFormatting>
  <conditionalFormatting sqref="F612">
    <cfRule type="cellIs" dxfId="4" priority="1612" operator="greaterThanOrEqual">
      <formula>0</formula>
    </cfRule>
  </conditionalFormatting>
  <conditionalFormatting sqref="F612">
    <cfRule type="cellIs" dxfId="5" priority="1613" operator="lessThan">
      <formula>-4100</formula>
    </cfRule>
  </conditionalFormatting>
  <conditionalFormatting sqref="E612">
    <cfRule type="cellIs" dxfId="6" priority="1614" operator="greaterThan">
      <formula>0</formula>
    </cfRule>
  </conditionalFormatting>
  <conditionalFormatting sqref="F472">
    <cfRule type="cellIs" dxfId="5" priority="1615" operator="lessThan">
      <formula>-4100</formula>
    </cfRule>
  </conditionalFormatting>
  <conditionalFormatting sqref="F472">
    <cfRule type="cellIs" dxfId="4" priority="1616" operator="greaterThanOrEqual">
      <formula>0</formula>
    </cfRule>
  </conditionalFormatting>
  <conditionalFormatting sqref="F472">
    <cfRule type="cellIs" dxfId="4" priority="1617" operator="greaterThanOrEqual">
      <formula>0</formula>
    </cfRule>
  </conditionalFormatting>
  <conditionalFormatting sqref="F472">
    <cfRule type="cellIs" dxfId="5" priority="1618" operator="lessThan">
      <formula>-4100</formula>
    </cfRule>
  </conditionalFormatting>
  <conditionalFormatting sqref="F472">
    <cfRule type="cellIs" dxfId="4" priority="1619" operator="greaterThanOrEqual">
      <formula>0</formula>
    </cfRule>
  </conditionalFormatting>
  <conditionalFormatting sqref="F472">
    <cfRule type="cellIs" dxfId="5" priority="1620" operator="lessThan">
      <formula>-4100</formula>
    </cfRule>
  </conditionalFormatting>
  <conditionalFormatting sqref="F472">
    <cfRule type="cellIs" dxfId="4" priority="1621" operator="greaterThanOrEqual">
      <formula>0</formula>
    </cfRule>
  </conditionalFormatting>
  <conditionalFormatting sqref="F472">
    <cfRule type="cellIs" dxfId="5" priority="1622" operator="lessThan">
      <formula>-4100</formula>
    </cfRule>
  </conditionalFormatting>
  <conditionalFormatting sqref="F472">
    <cfRule type="cellIs" dxfId="4" priority="1623" operator="greaterThanOrEqual">
      <formula>0</formula>
    </cfRule>
  </conditionalFormatting>
  <conditionalFormatting sqref="F472">
    <cfRule type="cellIs" dxfId="5" priority="1624" operator="lessThan">
      <formula>-4100</formula>
    </cfRule>
  </conditionalFormatting>
  <conditionalFormatting sqref="F472">
    <cfRule type="cellIs" dxfId="5" priority="1625" operator="lessThan">
      <formula>-4100</formula>
    </cfRule>
  </conditionalFormatting>
  <conditionalFormatting sqref="F472">
    <cfRule type="cellIs" dxfId="4" priority="1626" operator="greaterThanOrEqual">
      <formula>0</formula>
    </cfRule>
  </conditionalFormatting>
  <conditionalFormatting sqref="F472">
    <cfRule type="cellIs" dxfId="4" priority="1627" operator="greaterThanOrEqual">
      <formula>0</formula>
    </cfRule>
  </conditionalFormatting>
  <conditionalFormatting sqref="F472">
    <cfRule type="cellIs" dxfId="5" priority="1628" operator="lessThan">
      <formula>-4100</formula>
    </cfRule>
  </conditionalFormatting>
  <conditionalFormatting sqref="F472">
    <cfRule type="cellIs" dxfId="4" priority="1629" operator="greaterThanOrEqual">
      <formula>0</formula>
    </cfRule>
  </conditionalFormatting>
  <conditionalFormatting sqref="F472">
    <cfRule type="cellIs" dxfId="5" priority="1630" operator="lessThan">
      <formula>-4100</formula>
    </cfRule>
  </conditionalFormatting>
  <conditionalFormatting sqref="E472">
    <cfRule type="cellIs" dxfId="6" priority="1631" operator="greaterThan">
      <formula>0</formula>
    </cfRule>
  </conditionalFormatting>
  <conditionalFormatting sqref="H373">
    <cfRule type="expression" dxfId="0" priority="1632">
      <formula>H373&lt;($D$371-6%)</formula>
    </cfRule>
  </conditionalFormatting>
  <conditionalFormatting sqref="H373">
    <cfRule type="expression" dxfId="1" priority="1633">
      <formula>H373&gt;($D$371+6%)</formula>
    </cfRule>
  </conditionalFormatting>
  <conditionalFormatting sqref="H373">
    <cfRule type="expression" dxfId="2" priority="1634">
      <formula>H373&lt;($D$371-3%)</formula>
    </cfRule>
  </conditionalFormatting>
  <conditionalFormatting sqref="H373">
    <cfRule type="expression" dxfId="3" priority="1635">
      <formula>H373&gt;($D$371+3%)</formula>
    </cfRule>
  </conditionalFormatting>
  <conditionalFormatting sqref="H374">
    <cfRule type="expression" dxfId="0" priority="1636">
      <formula>H374&lt;($D$371-6%)</formula>
    </cfRule>
  </conditionalFormatting>
  <conditionalFormatting sqref="H374">
    <cfRule type="expression" dxfId="1" priority="1637">
      <formula>H374&gt;($D$371+6%)</formula>
    </cfRule>
  </conditionalFormatting>
  <conditionalFormatting sqref="H374">
    <cfRule type="expression" dxfId="2" priority="1638">
      <formula>H374&lt;($D$371-3%)</formula>
    </cfRule>
  </conditionalFormatting>
  <conditionalFormatting sqref="H374">
    <cfRule type="expression" dxfId="3" priority="1639">
      <formula>H374&gt;($D$371+3%)</formula>
    </cfRule>
  </conditionalFormatting>
  <conditionalFormatting sqref="F377">
    <cfRule type="cellIs" dxfId="5" priority="1640" operator="lessThan">
      <formula>-4100</formula>
    </cfRule>
  </conditionalFormatting>
  <conditionalFormatting sqref="F377">
    <cfRule type="cellIs" dxfId="4" priority="1641" operator="greaterThanOrEqual">
      <formula>0</formula>
    </cfRule>
  </conditionalFormatting>
  <conditionalFormatting sqref="F377">
    <cfRule type="cellIs" dxfId="4" priority="1642" operator="greaterThanOrEqual">
      <formula>0</formula>
    </cfRule>
  </conditionalFormatting>
  <conditionalFormatting sqref="F377">
    <cfRule type="cellIs" dxfId="5" priority="1643" operator="lessThan">
      <formula>-4100</formula>
    </cfRule>
  </conditionalFormatting>
  <conditionalFormatting sqref="F377">
    <cfRule type="cellIs" dxfId="4" priority="1644" operator="greaterThanOrEqual">
      <formula>0</formula>
    </cfRule>
  </conditionalFormatting>
  <conditionalFormatting sqref="F377">
    <cfRule type="cellIs" dxfId="5" priority="1645" operator="lessThan">
      <formula>-4100</formula>
    </cfRule>
  </conditionalFormatting>
  <conditionalFormatting sqref="F377">
    <cfRule type="cellIs" dxfId="4" priority="1646" operator="greaterThanOrEqual">
      <formula>0</formula>
    </cfRule>
  </conditionalFormatting>
  <conditionalFormatting sqref="F377">
    <cfRule type="cellIs" dxfId="5" priority="1647" operator="lessThan">
      <formula>-4100</formula>
    </cfRule>
  </conditionalFormatting>
  <conditionalFormatting sqref="F377">
    <cfRule type="cellIs" dxfId="4" priority="1648" operator="greaterThanOrEqual">
      <formula>0</formula>
    </cfRule>
  </conditionalFormatting>
  <conditionalFormatting sqref="F377">
    <cfRule type="cellIs" dxfId="5" priority="1649" operator="lessThan">
      <formula>-4100</formula>
    </cfRule>
  </conditionalFormatting>
  <conditionalFormatting sqref="F377">
    <cfRule type="cellIs" dxfId="5" priority="1650" operator="lessThan">
      <formula>-4100</formula>
    </cfRule>
  </conditionalFormatting>
  <conditionalFormatting sqref="F377">
    <cfRule type="cellIs" dxfId="4" priority="1651" operator="greaterThanOrEqual">
      <formula>0</formula>
    </cfRule>
  </conditionalFormatting>
  <conditionalFormatting sqref="F377">
    <cfRule type="cellIs" dxfId="4" priority="1652" operator="greaterThanOrEqual">
      <formula>0</formula>
    </cfRule>
  </conditionalFormatting>
  <conditionalFormatting sqref="F377">
    <cfRule type="cellIs" dxfId="5" priority="1653" operator="lessThan">
      <formula>-4100</formula>
    </cfRule>
  </conditionalFormatting>
  <conditionalFormatting sqref="F377">
    <cfRule type="cellIs" dxfId="4" priority="1654" operator="greaterThanOrEqual">
      <formula>0</formula>
    </cfRule>
  </conditionalFormatting>
  <conditionalFormatting sqref="F377">
    <cfRule type="cellIs" dxfId="5" priority="1655" operator="lessThan">
      <formula>-4100</formula>
    </cfRule>
  </conditionalFormatting>
  <conditionalFormatting sqref="E377">
    <cfRule type="cellIs" dxfId="6" priority="1656" operator="greaterThan">
      <formula>0</formula>
    </cfRule>
  </conditionalFormatting>
  <conditionalFormatting sqref="F382">
    <cfRule type="cellIs" dxfId="5" priority="1657" operator="lessThan">
      <formula>-4100</formula>
    </cfRule>
  </conditionalFormatting>
  <conditionalFormatting sqref="F382">
    <cfRule type="cellIs" dxfId="4" priority="1658" operator="greaterThanOrEqual">
      <formula>0</formula>
    </cfRule>
  </conditionalFormatting>
  <conditionalFormatting sqref="F382">
    <cfRule type="cellIs" dxfId="4" priority="1659" operator="greaterThanOrEqual">
      <formula>0</formula>
    </cfRule>
  </conditionalFormatting>
  <conditionalFormatting sqref="F382">
    <cfRule type="cellIs" dxfId="5" priority="1660" operator="lessThan">
      <formula>-4100</formula>
    </cfRule>
  </conditionalFormatting>
  <conditionalFormatting sqref="F382">
    <cfRule type="cellIs" dxfId="4" priority="1661" operator="greaterThanOrEqual">
      <formula>0</formula>
    </cfRule>
  </conditionalFormatting>
  <conditionalFormatting sqref="F382">
    <cfRule type="cellIs" dxfId="5" priority="1662" operator="lessThan">
      <formula>-4100</formula>
    </cfRule>
  </conditionalFormatting>
  <conditionalFormatting sqref="F382">
    <cfRule type="cellIs" dxfId="4" priority="1663" operator="greaterThanOrEqual">
      <formula>0</formula>
    </cfRule>
  </conditionalFormatting>
  <conditionalFormatting sqref="F382">
    <cfRule type="cellIs" dxfId="5" priority="1664" operator="lessThan">
      <formula>-4100</formula>
    </cfRule>
  </conditionalFormatting>
  <conditionalFormatting sqref="F382">
    <cfRule type="cellIs" dxfId="4" priority="1665" operator="greaterThanOrEqual">
      <formula>0</formula>
    </cfRule>
  </conditionalFormatting>
  <conditionalFormatting sqref="F382">
    <cfRule type="cellIs" dxfId="5" priority="1666" operator="lessThan">
      <formula>-4100</formula>
    </cfRule>
  </conditionalFormatting>
  <conditionalFormatting sqref="F382">
    <cfRule type="cellIs" dxfId="5" priority="1667" operator="lessThan">
      <formula>-4100</formula>
    </cfRule>
  </conditionalFormatting>
  <conditionalFormatting sqref="F382">
    <cfRule type="cellIs" dxfId="4" priority="1668" operator="greaterThanOrEqual">
      <formula>0</formula>
    </cfRule>
  </conditionalFormatting>
  <conditionalFormatting sqref="F382">
    <cfRule type="cellIs" dxfId="4" priority="1669" operator="greaterThanOrEqual">
      <formula>0</formula>
    </cfRule>
  </conditionalFormatting>
  <conditionalFormatting sqref="F382">
    <cfRule type="cellIs" dxfId="5" priority="1670" operator="lessThan">
      <formula>-4100</formula>
    </cfRule>
  </conditionalFormatting>
  <conditionalFormatting sqref="F382">
    <cfRule type="cellIs" dxfId="4" priority="1671" operator="greaterThanOrEqual">
      <formula>0</formula>
    </cfRule>
  </conditionalFormatting>
  <conditionalFormatting sqref="F382">
    <cfRule type="cellIs" dxfId="5" priority="1672" operator="lessThan">
      <formula>-4100</formula>
    </cfRule>
  </conditionalFormatting>
  <conditionalFormatting sqref="E382">
    <cfRule type="cellIs" dxfId="6" priority="1673" operator="greaterThan">
      <formula>0</formula>
    </cfRule>
  </conditionalFormatting>
  <conditionalFormatting sqref="F58">
    <cfRule type="cellIs" dxfId="5" priority="1674" operator="lessThan">
      <formula>-4100</formula>
    </cfRule>
  </conditionalFormatting>
  <conditionalFormatting sqref="F58">
    <cfRule type="cellIs" dxfId="4" priority="1675" operator="greaterThanOrEqual">
      <formula>0</formula>
    </cfRule>
  </conditionalFormatting>
  <conditionalFormatting sqref="F58">
    <cfRule type="cellIs" dxfId="4" priority="1676" operator="greaterThanOrEqual">
      <formula>0</formula>
    </cfRule>
  </conditionalFormatting>
  <conditionalFormatting sqref="F58">
    <cfRule type="cellIs" dxfId="5" priority="1677" operator="lessThan">
      <formula>-4100</formula>
    </cfRule>
  </conditionalFormatting>
  <conditionalFormatting sqref="F58">
    <cfRule type="cellIs" dxfId="4" priority="1678" operator="greaterThanOrEqual">
      <formula>0</formula>
    </cfRule>
  </conditionalFormatting>
  <conditionalFormatting sqref="F58">
    <cfRule type="cellIs" dxfId="5" priority="1679" operator="lessThan">
      <formula>-4100</formula>
    </cfRule>
  </conditionalFormatting>
  <conditionalFormatting sqref="F58">
    <cfRule type="cellIs" dxfId="4" priority="1680" operator="greaterThanOrEqual">
      <formula>0</formula>
    </cfRule>
  </conditionalFormatting>
  <conditionalFormatting sqref="F58">
    <cfRule type="cellIs" dxfId="5" priority="1681" operator="lessThan">
      <formula>-4100</formula>
    </cfRule>
  </conditionalFormatting>
  <conditionalFormatting sqref="E58">
    <cfRule type="cellIs" dxfId="6" priority="1682" operator="greaterThan">
      <formula>0</formula>
    </cfRule>
  </conditionalFormatting>
  <conditionalFormatting sqref="F53">
    <cfRule type="cellIs" dxfId="5" priority="1683" operator="lessThan">
      <formula>-4100</formula>
    </cfRule>
  </conditionalFormatting>
  <conditionalFormatting sqref="F53">
    <cfRule type="cellIs" dxfId="4" priority="1684" operator="greaterThanOrEqual">
      <formula>0</formula>
    </cfRule>
  </conditionalFormatting>
  <conditionalFormatting sqref="F53">
    <cfRule type="cellIs" dxfId="4" priority="1685" operator="greaterThanOrEqual">
      <formula>0</formula>
    </cfRule>
  </conditionalFormatting>
  <conditionalFormatting sqref="F53">
    <cfRule type="cellIs" dxfId="5" priority="1686" operator="lessThan">
      <formula>-4100</formula>
    </cfRule>
  </conditionalFormatting>
  <conditionalFormatting sqref="F53">
    <cfRule type="cellIs" dxfId="4" priority="1687" operator="greaterThanOrEqual">
      <formula>0</formula>
    </cfRule>
  </conditionalFormatting>
  <conditionalFormatting sqref="F53">
    <cfRule type="cellIs" dxfId="5" priority="1688" operator="lessThan">
      <formula>-4100</formula>
    </cfRule>
  </conditionalFormatting>
  <conditionalFormatting sqref="F53">
    <cfRule type="cellIs" dxfId="4" priority="1689" operator="greaterThanOrEqual">
      <formula>0</formula>
    </cfRule>
  </conditionalFormatting>
  <conditionalFormatting sqref="F53">
    <cfRule type="cellIs" dxfId="5" priority="1690" operator="lessThan">
      <formula>-4100</formula>
    </cfRule>
  </conditionalFormatting>
  <conditionalFormatting sqref="E53">
    <cfRule type="cellIs" dxfId="6" priority="1691" operator="greaterThan">
      <formula>0</formula>
    </cfRule>
  </conditionalFormatting>
  <conditionalFormatting sqref="F653">
    <cfRule type="cellIs" dxfId="5" priority="1692" operator="lessThan">
      <formula>-4100</formula>
    </cfRule>
  </conditionalFormatting>
  <conditionalFormatting sqref="F653">
    <cfRule type="cellIs" dxfId="4" priority="1693" operator="greaterThanOrEqual">
      <formula>0</formula>
    </cfRule>
  </conditionalFormatting>
  <conditionalFormatting sqref="F653">
    <cfRule type="cellIs" dxfId="4" priority="1694" operator="greaterThanOrEqual">
      <formula>0</formula>
    </cfRule>
  </conditionalFormatting>
  <conditionalFormatting sqref="F653">
    <cfRule type="cellIs" dxfId="5" priority="1695" operator="lessThan">
      <formula>-4100</formula>
    </cfRule>
  </conditionalFormatting>
  <conditionalFormatting sqref="F653">
    <cfRule type="cellIs" dxfId="4" priority="1696" operator="greaterThanOrEqual">
      <formula>0</formula>
    </cfRule>
  </conditionalFormatting>
  <conditionalFormatting sqref="F653">
    <cfRule type="cellIs" dxfId="5" priority="1697" operator="lessThan">
      <formula>-4100</formula>
    </cfRule>
  </conditionalFormatting>
  <conditionalFormatting sqref="F653">
    <cfRule type="cellIs" dxfId="4" priority="1698" operator="greaterThanOrEqual">
      <formula>0</formula>
    </cfRule>
  </conditionalFormatting>
  <conditionalFormatting sqref="F653">
    <cfRule type="cellIs" dxfId="5" priority="1699" operator="lessThan">
      <formula>-4100</formula>
    </cfRule>
  </conditionalFormatting>
  <conditionalFormatting sqref="F653">
    <cfRule type="cellIs" dxfId="4" priority="1700" operator="greaterThanOrEqual">
      <formula>0</formula>
    </cfRule>
  </conditionalFormatting>
  <conditionalFormatting sqref="F653">
    <cfRule type="cellIs" dxfId="5" priority="1701" operator="lessThan">
      <formula>-4100</formula>
    </cfRule>
  </conditionalFormatting>
  <conditionalFormatting sqref="E653">
    <cfRule type="cellIs" dxfId="6" priority="1702" operator="greaterThan">
      <formula>0</formula>
    </cfRule>
  </conditionalFormatting>
  <conditionalFormatting sqref="F653">
    <cfRule type="cellIs" dxfId="4" priority="1703" operator="greaterThanOrEqual">
      <formula>0</formula>
    </cfRule>
  </conditionalFormatting>
  <conditionalFormatting sqref="F653">
    <cfRule type="cellIs" dxfId="5" priority="1704" operator="lessThan">
      <formula>-4100</formula>
    </cfRule>
  </conditionalFormatting>
  <conditionalFormatting sqref="F653">
    <cfRule type="cellIs" dxfId="4" priority="1705" operator="greaterThanOrEqual">
      <formula>0</formula>
    </cfRule>
  </conditionalFormatting>
  <conditionalFormatting sqref="F653">
    <cfRule type="cellIs" dxfId="5" priority="1706" operator="lessThan">
      <formula>-4100</formula>
    </cfRule>
  </conditionalFormatting>
  <conditionalFormatting sqref="F653">
    <cfRule type="cellIs" dxfId="4" priority="1707" operator="greaterThanOrEqual">
      <formula>0</formula>
    </cfRule>
  </conditionalFormatting>
  <conditionalFormatting sqref="F653">
    <cfRule type="cellIs" dxfId="5" priority="1708" operator="lessThan">
      <formula>-4100</formula>
    </cfRule>
  </conditionalFormatting>
  <conditionalFormatting sqref="F163">
    <cfRule type="cellIs" dxfId="5" priority="1709" operator="lessThan">
      <formula>-4100</formula>
    </cfRule>
  </conditionalFormatting>
  <conditionalFormatting sqref="F163">
    <cfRule type="cellIs" dxfId="4" priority="1710" operator="greaterThanOrEqual">
      <formula>0</formula>
    </cfRule>
  </conditionalFormatting>
  <conditionalFormatting sqref="F163">
    <cfRule type="cellIs" dxfId="4" priority="1711" operator="greaterThanOrEqual">
      <formula>0</formula>
    </cfRule>
  </conditionalFormatting>
  <conditionalFormatting sqref="F163">
    <cfRule type="cellIs" dxfId="5" priority="1712" operator="lessThan">
      <formula>-4100</formula>
    </cfRule>
  </conditionalFormatting>
  <conditionalFormatting sqref="F163">
    <cfRule type="cellIs" dxfId="4" priority="1713" operator="greaterThanOrEqual">
      <formula>0</formula>
    </cfRule>
  </conditionalFormatting>
  <conditionalFormatting sqref="F163">
    <cfRule type="cellIs" dxfId="5" priority="1714" operator="lessThan">
      <formula>-4100</formula>
    </cfRule>
  </conditionalFormatting>
  <conditionalFormatting sqref="F163">
    <cfRule type="cellIs" dxfId="4" priority="1715" operator="greaterThanOrEqual">
      <formula>0</formula>
    </cfRule>
  </conditionalFormatting>
  <conditionalFormatting sqref="F163">
    <cfRule type="cellIs" dxfId="5" priority="1716" operator="lessThan">
      <formula>-4100</formula>
    </cfRule>
  </conditionalFormatting>
  <conditionalFormatting sqref="F163">
    <cfRule type="cellIs" dxfId="4" priority="1717" operator="greaterThanOrEqual">
      <formula>0</formula>
    </cfRule>
  </conditionalFormatting>
  <conditionalFormatting sqref="F163">
    <cfRule type="cellIs" dxfId="5" priority="1718" operator="lessThan">
      <formula>-4100</formula>
    </cfRule>
  </conditionalFormatting>
  <conditionalFormatting sqref="F163">
    <cfRule type="cellIs" dxfId="5" priority="1719" operator="lessThan">
      <formula>-4100</formula>
    </cfRule>
  </conditionalFormatting>
  <conditionalFormatting sqref="F163">
    <cfRule type="cellIs" dxfId="4" priority="1720" operator="greaterThanOrEqual">
      <formula>0</formula>
    </cfRule>
  </conditionalFormatting>
  <conditionalFormatting sqref="F163">
    <cfRule type="cellIs" dxfId="4" priority="1721" operator="greaterThanOrEqual">
      <formula>0</formula>
    </cfRule>
  </conditionalFormatting>
  <conditionalFormatting sqref="F163">
    <cfRule type="cellIs" dxfId="5" priority="1722" operator="lessThan">
      <formula>-4100</formula>
    </cfRule>
  </conditionalFormatting>
  <conditionalFormatting sqref="F163">
    <cfRule type="cellIs" dxfId="4" priority="1723" operator="greaterThanOrEqual">
      <formula>0</formula>
    </cfRule>
  </conditionalFormatting>
  <conditionalFormatting sqref="F163">
    <cfRule type="cellIs" dxfId="5" priority="1724" operator="lessThan">
      <formula>-4100</formula>
    </cfRule>
  </conditionalFormatting>
  <conditionalFormatting sqref="E163">
    <cfRule type="cellIs" dxfId="6" priority="1725" operator="greaterThan">
      <formula>0</formula>
    </cfRule>
  </conditionalFormatting>
  <conditionalFormatting sqref="F43">
    <cfRule type="cellIs" dxfId="4" priority="1726" operator="greaterThanOrEqual">
      <formula>0</formula>
    </cfRule>
  </conditionalFormatting>
  <conditionalFormatting sqref="F43">
    <cfRule type="cellIs" dxfId="5" priority="1727" operator="lessThan">
      <formula>-4100</formula>
    </cfRule>
  </conditionalFormatting>
  <conditionalFormatting sqref="F43">
    <cfRule type="cellIs" dxfId="4" priority="1728" operator="greaterThanOrEqual">
      <formula>0</formula>
    </cfRule>
  </conditionalFormatting>
  <conditionalFormatting sqref="F43">
    <cfRule type="cellIs" dxfId="5" priority="1729" operator="lessThan">
      <formula>-4100</formula>
    </cfRule>
  </conditionalFormatting>
  <conditionalFormatting sqref="E43">
    <cfRule type="cellIs" dxfId="6" priority="1730" operator="greaterThan">
      <formula>0</formula>
    </cfRule>
  </conditionalFormatting>
  <conditionalFormatting sqref="F43">
    <cfRule type="cellIs" dxfId="4" priority="1731" operator="greaterThanOrEqual">
      <formula>0</formula>
    </cfRule>
  </conditionalFormatting>
  <conditionalFormatting sqref="F43">
    <cfRule type="cellIs" dxfId="5" priority="1732" operator="lessThan">
      <formula>-4100</formula>
    </cfRule>
  </conditionalFormatting>
  <conditionalFormatting sqref="F43">
    <cfRule type="cellIs" dxfId="4" priority="1733" operator="greaterThanOrEqual">
      <formula>0</formula>
    </cfRule>
  </conditionalFormatting>
  <conditionalFormatting sqref="F43">
    <cfRule type="cellIs" dxfId="5" priority="1734" operator="lessThan">
      <formula>-4100</formula>
    </cfRule>
  </conditionalFormatting>
  <conditionalFormatting sqref="F43">
    <cfRule type="cellIs" dxfId="4" priority="1735" operator="greaterThanOrEqual">
      <formula>0</formula>
    </cfRule>
  </conditionalFormatting>
  <conditionalFormatting sqref="F43">
    <cfRule type="cellIs" dxfId="5" priority="1736" operator="lessThan">
      <formula>-4100</formula>
    </cfRule>
  </conditionalFormatting>
  <conditionalFormatting sqref="F43">
    <cfRule type="cellIs" dxfId="4" priority="1737" operator="greaterThanOrEqual">
      <formula>0</formula>
    </cfRule>
  </conditionalFormatting>
  <conditionalFormatting sqref="F43">
    <cfRule type="cellIs" dxfId="5" priority="1738" operator="lessThan">
      <formula>-4100</formula>
    </cfRule>
  </conditionalFormatting>
  <conditionalFormatting sqref="F43">
    <cfRule type="cellIs" dxfId="4" priority="1739" operator="greaterThanOrEqual">
      <formula>0</formula>
    </cfRule>
  </conditionalFormatting>
  <conditionalFormatting sqref="F43">
    <cfRule type="cellIs" dxfId="5" priority="1740" operator="lessThan">
      <formula>-4100</formula>
    </cfRule>
  </conditionalFormatting>
  <conditionalFormatting sqref="F43">
    <cfRule type="cellIs" dxfId="4" priority="1741" operator="greaterThanOrEqual">
      <formula>0</formula>
    </cfRule>
  </conditionalFormatting>
  <conditionalFormatting sqref="F43">
    <cfRule type="cellIs" dxfId="5" priority="1742" operator="lessThan">
      <formula>-4100</formula>
    </cfRule>
  </conditionalFormatting>
  <conditionalFormatting sqref="F147">
    <cfRule type="cellIs" dxfId="5" priority="1743" operator="lessThan">
      <formula>-4100</formula>
    </cfRule>
  </conditionalFormatting>
  <conditionalFormatting sqref="F147">
    <cfRule type="cellIs" dxfId="4" priority="1744" operator="greaterThanOrEqual">
      <formula>0</formula>
    </cfRule>
  </conditionalFormatting>
  <conditionalFormatting sqref="F147">
    <cfRule type="cellIs" dxfId="4" priority="1745" operator="greaterThanOrEqual">
      <formula>0</formula>
    </cfRule>
  </conditionalFormatting>
  <conditionalFormatting sqref="F147">
    <cfRule type="cellIs" dxfId="5" priority="1746" operator="lessThan">
      <formula>-4100</formula>
    </cfRule>
  </conditionalFormatting>
  <conditionalFormatting sqref="F147">
    <cfRule type="cellIs" dxfId="4" priority="1747" operator="greaterThanOrEqual">
      <formula>0</formula>
    </cfRule>
  </conditionalFormatting>
  <conditionalFormatting sqref="F147">
    <cfRule type="cellIs" dxfId="5" priority="1748" operator="lessThan">
      <formula>-4100</formula>
    </cfRule>
  </conditionalFormatting>
  <conditionalFormatting sqref="F147">
    <cfRule type="cellIs" dxfId="4" priority="1749" operator="greaterThanOrEqual">
      <formula>0</formula>
    </cfRule>
  </conditionalFormatting>
  <conditionalFormatting sqref="F147">
    <cfRule type="cellIs" dxfId="5" priority="1750" operator="lessThan">
      <formula>-4100</formula>
    </cfRule>
  </conditionalFormatting>
  <conditionalFormatting sqref="F147">
    <cfRule type="cellIs" dxfId="4" priority="1751" operator="greaterThanOrEqual">
      <formula>0</formula>
    </cfRule>
  </conditionalFormatting>
  <conditionalFormatting sqref="F147">
    <cfRule type="cellIs" dxfId="5" priority="1752" operator="lessThan">
      <formula>-4100</formula>
    </cfRule>
  </conditionalFormatting>
  <conditionalFormatting sqref="F147">
    <cfRule type="cellIs" dxfId="5" priority="1753" operator="lessThan">
      <formula>-4100</formula>
    </cfRule>
  </conditionalFormatting>
  <conditionalFormatting sqref="F147">
    <cfRule type="cellIs" dxfId="4" priority="1754" operator="greaterThanOrEqual">
      <formula>0</formula>
    </cfRule>
  </conditionalFormatting>
  <conditionalFormatting sqref="F147">
    <cfRule type="cellIs" dxfId="4" priority="1755" operator="greaterThanOrEqual">
      <formula>0</formula>
    </cfRule>
  </conditionalFormatting>
  <conditionalFormatting sqref="F147">
    <cfRule type="cellIs" dxfId="5" priority="1756" operator="lessThan">
      <formula>-4100</formula>
    </cfRule>
  </conditionalFormatting>
  <conditionalFormatting sqref="F147">
    <cfRule type="cellIs" dxfId="4" priority="1757" operator="greaterThanOrEqual">
      <formula>0</formula>
    </cfRule>
  </conditionalFormatting>
  <conditionalFormatting sqref="F147">
    <cfRule type="cellIs" dxfId="5" priority="1758" operator="lessThan">
      <formula>-4100</formula>
    </cfRule>
  </conditionalFormatting>
  <conditionalFormatting sqref="E147">
    <cfRule type="cellIs" dxfId="6" priority="1759" operator="greaterThan">
      <formula>0</formula>
    </cfRule>
  </conditionalFormatting>
  <conditionalFormatting sqref="F33">
    <cfRule type="cellIs" dxfId="5" priority="1760" operator="lessThan">
      <formula>-4100</formula>
    </cfRule>
  </conditionalFormatting>
  <conditionalFormatting sqref="F33">
    <cfRule type="cellIs" dxfId="4" priority="1761" operator="greaterThanOrEqual">
      <formula>0</formula>
    </cfRule>
  </conditionalFormatting>
  <conditionalFormatting sqref="F33">
    <cfRule type="cellIs" dxfId="4" priority="1762" operator="greaterThanOrEqual">
      <formula>0</formula>
    </cfRule>
  </conditionalFormatting>
  <conditionalFormatting sqref="F33">
    <cfRule type="cellIs" dxfId="5" priority="1763" operator="lessThan">
      <formula>-4100</formula>
    </cfRule>
  </conditionalFormatting>
  <conditionalFormatting sqref="F33">
    <cfRule type="cellIs" dxfId="4" priority="1764" operator="greaterThanOrEqual">
      <formula>0</formula>
    </cfRule>
  </conditionalFormatting>
  <conditionalFormatting sqref="F33">
    <cfRule type="cellIs" dxfId="5" priority="1765" operator="lessThan">
      <formula>-4100</formula>
    </cfRule>
  </conditionalFormatting>
  <conditionalFormatting sqref="F33">
    <cfRule type="cellIs" dxfId="4" priority="1766" operator="greaterThanOrEqual">
      <formula>0</formula>
    </cfRule>
  </conditionalFormatting>
  <conditionalFormatting sqref="F33">
    <cfRule type="cellIs" dxfId="5" priority="1767" operator="lessThan">
      <formula>-4100</formula>
    </cfRule>
  </conditionalFormatting>
  <conditionalFormatting sqref="F33">
    <cfRule type="cellIs" dxfId="4" priority="1768" operator="greaterThanOrEqual">
      <formula>0</formula>
    </cfRule>
  </conditionalFormatting>
  <conditionalFormatting sqref="F33">
    <cfRule type="cellIs" dxfId="5" priority="1769" operator="lessThan">
      <formula>-4100</formula>
    </cfRule>
  </conditionalFormatting>
  <conditionalFormatting sqref="F33">
    <cfRule type="cellIs" dxfId="5" priority="1770" operator="lessThan">
      <formula>-4100</formula>
    </cfRule>
  </conditionalFormatting>
  <conditionalFormatting sqref="F33">
    <cfRule type="cellIs" dxfId="4" priority="1771" operator="greaterThanOrEqual">
      <formula>0</formula>
    </cfRule>
  </conditionalFormatting>
  <conditionalFormatting sqref="F33">
    <cfRule type="cellIs" dxfId="4" priority="1772" operator="greaterThanOrEqual">
      <formula>0</formula>
    </cfRule>
  </conditionalFormatting>
  <conditionalFormatting sqref="F33">
    <cfRule type="cellIs" dxfId="5" priority="1773" operator="lessThan">
      <formula>-4100</formula>
    </cfRule>
  </conditionalFormatting>
  <conditionalFormatting sqref="F33">
    <cfRule type="cellIs" dxfId="4" priority="1774" operator="greaterThanOrEqual">
      <formula>0</formula>
    </cfRule>
  </conditionalFormatting>
  <conditionalFormatting sqref="F33">
    <cfRule type="cellIs" dxfId="5" priority="1775" operator="lessThan">
      <formula>-4100</formula>
    </cfRule>
  </conditionalFormatting>
  <conditionalFormatting sqref="E33">
    <cfRule type="cellIs" dxfId="6" priority="1776" operator="greaterThan">
      <formula>0</formula>
    </cfRule>
  </conditionalFormatting>
  <conditionalFormatting sqref="F79">
    <cfRule type="cellIs" dxfId="5" priority="1777" operator="lessThan">
      <formula>-4100</formula>
    </cfRule>
  </conditionalFormatting>
  <conditionalFormatting sqref="F79">
    <cfRule type="cellIs" dxfId="4" priority="1778" operator="greaterThanOrEqual">
      <formula>0</formula>
    </cfRule>
  </conditionalFormatting>
  <conditionalFormatting sqref="F79">
    <cfRule type="cellIs" dxfId="4" priority="1779" operator="greaterThanOrEqual">
      <formula>0</formula>
    </cfRule>
  </conditionalFormatting>
  <conditionalFormatting sqref="F79">
    <cfRule type="cellIs" dxfId="5" priority="1780" operator="lessThan">
      <formula>-4100</formula>
    </cfRule>
  </conditionalFormatting>
  <conditionalFormatting sqref="F79">
    <cfRule type="cellIs" dxfId="4" priority="1781" operator="greaterThanOrEqual">
      <formula>0</formula>
    </cfRule>
  </conditionalFormatting>
  <conditionalFormatting sqref="F79">
    <cfRule type="cellIs" dxfId="5" priority="1782" operator="lessThan">
      <formula>-4100</formula>
    </cfRule>
  </conditionalFormatting>
  <conditionalFormatting sqref="F79">
    <cfRule type="cellIs" dxfId="4" priority="1783" operator="greaterThanOrEqual">
      <formula>0</formula>
    </cfRule>
  </conditionalFormatting>
  <conditionalFormatting sqref="F79">
    <cfRule type="cellIs" dxfId="5" priority="1784" operator="lessThan">
      <formula>-4100</formula>
    </cfRule>
  </conditionalFormatting>
  <conditionalFormatting sqref="F79">
    <cfRule type="cellIs" dxfId="4" priority="1785" operator="greaterThanOrEqual">
      <formula>0</formula>
    </cfRule>
  </conditionalFormatting>
  <conditionalFormatting sqref="F79">
    <cfRule type="cellIs" dxfId="5" priority="1786" operator="lessThan">
      <formula>-4100</formula>
    </cfRule>
  </conditionalFormatting>
  <conditionalFormatting sqref="F79">
    <cfRule type="cellIs" dxfId="5" priority="1787" operator="lessThan">
      <formula>-4100</formula>
    </cfRule>
  </conditionalFormatting>
  <conditionalFormatting sqref="F79">
    <cfRule type="cellIs" dxfId="4" priority="1788" operator="greaterThanOrEqual">
      <formula>0</formula>
    </cfRule>
  </conditionalFormatting>
  <conditionalFormatting sqref="F79">
    <cfRule type="cellIs" dxfId="4" priority="1789" operator="greaterThanOrEqual">
      <formula>0</formula>
    </cfRule>
  </conditionalFormatting>
  <conditionalFormatting sqref="F79">
    <cfRule type="cellIs" dxfId="5" priority="1790" operator="lessThan">
      <formula>-4100</formula>
    </cfRule>
  </conditionalFormatting>
  <conditionalFormatting sqref="F79">
    <cfRule type="cellIs" dxfId="4" priority="1791" operator="greaterThanOrEqual">
      <formula>0</formula>
    </cfRule>
  </conditionalFormatting>
  <conditionalFormatting sqref="F79">
    <cfRule type="cellIs" dxfId="5" priority="1792" operator="lessThan">
      <formula>-4100</formula>
    </cfRule>
  </conditionalFormatting>
  <conditionalFormatting sqref="E79">
    <cfRule type="cellIs" dxfId="6" priority="1793" operator="greaterThan">
      <formula>0</formula>
    </cfRule>
  </conditionalFormatting>
  <conditionalFormatting sqref="F106">
    <cfRule type="cellIs" dxfId="5" priority="1794" operator="lessThan">
      <formula>-4100</formula>
    </cfRule>
  </conditionalFormatting>
  <conditionalFormatting sqref="F106">
    <cfRule type="cellIs" dxfId="4" priority="1795" operator="greaterThanOrEqual">
      <formula>0</formula>
    </cfRule>
  </conditionalFormatting>
  <conditionalFormatting sqref="F106">
    <cfRule type="cellIs" dxfId="4" priority="1796" operator="greaterThanOrEqual">
      <formula>0</formula>
    </cfRule>
  </conditionalFormatting>
  <conditionalFormatting sqref="F106">
    <cfRule type="cellIs" dxfId="5" priority="1797" operator="lessThan">
      <formula>-4100</formula>
    </cfRule>
  </conditionalFormatting>
  <conditionalFormatting sqref="F106">
    <cfRule type="cellIs" dxfId="4" priority="1798" operator="greaterThanOrEqual">
      <formula>0</formula>
    </cfRule>
  </conditionalFormatting>
  <conditionalFormatting sqref="F106">
    <cfRule type="cellIs" dxfId="5" priority="1799" operator="lessThan">
      <formula>-4100</formula>
    </cfRule>
  </conditionalFormatting>
  <conditionalFormatting sqref="F106">
    <cfRule type="cellIs" dxfId="4" priority="1800" operator="greaterThanOrEqual">
      <formula>0</formula>
    </cfRule>
  </conditionalFormatting>
  <conditionalFormatting sqref="F106">
    <cfRule type="cellIs" dxfId="5" priority="1801" operator="lessThan">
      <formula>-4100</formula>
    </cfRule>
  </conditionalFormatting>
  <conditionalFormatting sqref="F106">
    <cfRule type="cellIs" dxfId="4" priority="1802" operator="greaterThanOrEqual">
      <formula>0</formula>
    </cfRule>
  </conditionalFormatting>
  <conditionalFormatting sqref="F106">
    <cfRule type="cellIs" dxfId="5" priority="1803" operator="lessThan">
      <formula>-4100</formula>
    </cfRule>
  </conditionalFormatting>
  <conditionalFormatting sqref="E106">
    <cfRule type="cellIs" dxfId="6" priority="1804" operator="greaterThan">
      <formula>0</formula>
    </cfRule>
  </conditionalFormatting>
  <conditionalFormatting sqref="F106">
    <cfRule type="cellIs" dxfId="4" priority="1805" operator="greaterThanOrEqual">
      <formula>0</formula>
    </cfRule>
  </conditionalFormatting>
  <conditionalFormatting sqref="F106">
    <cfRule type="cellIs" dxfId="5" priority="1806" operator="lessThan">
      <formula>-4100</formula>
    </cfRule>
  </conditionalFormatting>
  <conditionalFormatting sqref="F106">
    <cfRule type="cellIs" dxfId="4" priority="1807" operator="greaterThanOrEqual">
      <formula>0</formula>
    </cfRule>
  </conditionalFormatting>
  <conditionalFormatting sqref="F106">
    <cfRule type="cellIs" dxfId="5" priority="1808" operator="lessThan">
      <formula>-4100</formula>
    </cfRule>
  </conditionalFormatting>
  <conditionalFormatting sqref="F106">
    <cfRule type="cellIs" dxfId="4" priority="1809" operator="greaterThanOrEqual">
      <formula>0</formula>
    </cfRule>
  </conditionalFormatting>
  <conditionalFormatting sqref="F106">
    <cfRule type="cellIs" dxfId="5" priority="1810" operator="lessThan">
      <formula>-4100</formula>
    </cfRule>
  </conditionalFormatting>
  <conditionalFormatting sqref="F74">
    <cfRule type="cellIs" dxfId="4" priority="1811" operator="greaterThanOrEqual">
      <formula>0</formula>
    </cfRule>
  </conditionalFormatting>
  <conditionalFormatting sqref="F74">
    <cfRule type="cellIs" dxfId="5" priority="1812" operator="lessThan">
      <formula>-4100</formula>
    </cfRule>
  </conditionalFormatting>
  <conditionalFormatting sqref="F74">
    <cfRule type="cellIs" dxfId="4" priority="1813" operator="greaterThanOrEqual">
      <formula>0</formula>
    </cfRule>
  </conditionalFormatting>
  <conditionalFormatting sqref="F74">
    <cfRule type="cellIs" dxfId="5" priority="1814" operator="lessThan">
      <formula>-4100</formula>
    </cfRule>
  </conditionalFormatting>
  <conditionalFormatting sqref="E74">
    <cfRule type="cellIs" dxfId="6" priority="1815" operator="greaterThan">
      <formula>0</formula>
    </cfRule>
  </conditionalFormatting>
  <conditionalFormatting sqref="F74">
    <cfRule type="cellIs" dxfId="4" priority="1816" operator="greaterThanOrEqual">
      <formula>0</formula>
    </cfRule>
  </conditionalFormatting>
  <conditionalFormatting sqref="F74">
    <cfRule type="cellIs" dxfId="5" priority="1817" operator="lessThan">
      <formula>-4100</formula>
    </cfRule>
  </conditionalFormatting>
  <conditionalFormatting sqref="F74">
    <cfRule type="cellIs" dxfId="4" priority="1818" operator="greaterThanOrEqual">
      <formula>0</formula>
    </cfRule>
  </conditionalFormatting>
  <conditionalFormatting sqref="F74">
    <cfRule type="cellIs" dxfId="5" priority="1819" operator="lessThan">
      <formula>-4100</formula>
    </cfRule>
  </conditionalFormatting>
  <conditionalFormatting sqref="F74">
    <cfRule type="cellIs" dxfId="4" priority="1820" operator="greaterThanOrEqual">
      <formula>0</formula>
    </cfRule>
  </conditionalFormatting>
  <conditionalFormatting sqref="F74">
    <cfRule type="cellIs" dxfId="5" priority="1821" operator="lessThan">
      <formula>-4100</formula>
    </cfRule>
  </conditionalFormatting>
  <conditionalFormatting sqref="F74">
    <cfRule type="cellIs" dxfId="4" priority="1822" operator="greaterThanOrEqual">
      <formula>0</formula>
    </cfRule>
  </conditionalFormatting>
  <conditionalFormatting sqref="F74">
    <cfRule type="cellIs" dxfId="5" priority="1823" operator="lessThan">
      <formula>-4100</formula>
    </cfRule>
  </conditionalFormatting>
  <conditionalFormatting sqref="F74">
    <cfRule type="cellIs" dxfId="4" priority="1824" operator="greaterThanOrEqual">
      <formula>0</formula>
    </cfRule>
  </conditionalFormatting>
  <conditionalFormatting sqref="F74">
    <cfRule type="cellIs" dxfId="5" priority="1825" operator="lessThan">
      <formula>-4100</formula>
    </cfRule>
  </conditionalFormatting>
  <conditionalFormatting sqref="F74">
    <cfRule type="cellIs" dxfId="4" priority="1826" operator="greaterThanOrEqual">
      <formula>0</formula>
    </cfRule>
  </conditionalFormatting>
  <conditionalFormatting sqref="F74">
    <cfRule type="cellIs" dxfId="5" priority="1827" operator="lessThan">
      <formula>-4100</formula>
    </cfRule>
  </conditionalFormatting>
  <conditionalFormatting sqref="F63">
    <cfRule type="cellIs" dxfId="5" priority="1828" operator="lessThan">
      <formula>-4100</formula>
    </cfRule>
  </conditionalFormatting>
  <conditionalFormatting sqref="F63">
    <cfRule type="cellIs" dxfId="4" priority="1829" operator="greaterThanOrEqual">
      <formula>0</formula>
    </cfRule>
  </conditionalFormatting>
  <conditionalFormatting sqref="F63">
    <cfRule type="cellIs" dxfId="4" priority="1830" operator="greaterThanOrEqual">
      <formula>0</formula>
    </cfRule>
  </conditionalFormatting>
  <conditionalFormatting sqref="F63">
    <cfRule type="cellIs" dxfId="5" priority="1831" operator="lessThan">
      <formula>-4100</formula>
    </cfRule>
  </conditionalFormatting>
  <conditionalFormatting sqref="F63">
    <cfRule type="cellIs" dxfId="4" priority="1832" operator="greaterThanOrEqual">
      <formula>0</formula>
    </cfRule>
  </conditionalFormatting>
  <conditionalFormatting sqref="F63">
    <cfRule type="cellIs" dxfId="5" priority="1833" operator="lessThan">
      <formula>-4100</formula>
    </cfRule>
  </conditionalFormatting>
  <conditionalFormatting sqref="F63">
    <cfRule type="cellIs" dxfId="4" priority="1834" operator="greaterThanOrEqual">
      <formula>0</formula>
    </cfRule>
  </conditionalFormatting>
  <conditionalFormatting sqref="F63">
    <cfRule type="cellIs" dxfId="5" priority="1835" operator="lessThan">
      <formula>-4100</formula>
    </cfRule>
  </conditionalFormatting>
  <conditionalFormatting sqref="F63">
    <cfRule type="cellIs" dxfId="4" priority="1836" operator="greaterThanOrEqual">
      <formula>0</formula>
    </cfRule>
  </conditionalFormatting>
  <conditionalFormatting sqref="F63">
    <cfRule type="cellIs" dxfId="5" priority="1837" operator="lessThan">
      <formula>-4100</formula>
    </cfRule>
  </conditionalFormatting>
  <conditionalFormatting sqref="F63">
    <cfRule type="cellIs" dxfId="5" priority="1838" operator="lessThan">
      <formula>-4100</formula>
    </cfRule>
  </conditionalFormatting>
  <conditionalFormatting sqref="F63">
    <cfRule type="cellIs" dxfId="4" priority="1839" operator="greaterThanOrEqual">
      <formula>0</formula>
    </cfRule>
  </conditionalFormatting>
  <conditionalFormatting sqref="F63">
    <cfRule type="cellIs" dxfId="4" priority="1840" operator="greaterThanOrEqual">
      <formula>0</formula>
    </cfRule>
  </conditionalFormatting>
  <conditionalFormatting sqref="F63">
    <cfRule type="cellIs" dxfId="5" priority="1841" operator="lessThan">
      <formula>-4100</formula>
    </cfRule>
  </conditionalFormatting>
  <conditionalFormatting sqref="F63">
    <cfRule type="cellIs" dxfId="4" priority="1842" operator="greaterThanOrEqual">
      <formula>0</formula>
    </cfRule>
  </conditionalFormatting>
  <conditionalFormatting sqref="F63">
    <cfRule type="cellIs" dxfId="5" priority="1843" operator="lessThan">
      <formula>-4100</formula>
    </cfRule>
  </conditionalFormatting>
  <conditionalFormatting sqref="E63">
    <cfRule type="cellIs" dxfId="6" priority="1844" operator="greaterThan">
      <formula>0</formula>
    </cfRule>
  </conditionalFormatting>
  <conditionalFormatting sqref="F127">
    <cfRule type="cellIs" dxfId="5" priority="1845" operator="lessThan">
      <formula>-4100</formula>
    </cfRule>
  </conditionalFormatting>
  <conditionalFormatting sqref="F127">
    <cfRule type="cellIs" dxfId="4" priority="1846" operator="greaterThanOrEqual">
      <formula>0</formula>
    </cfRule>
  </conditionalFormatting>
  <conditionalFormatting sqref="F127">
    <cfRule type="cellIs" dxfId="4" priority="1847" operator="greaterThanOrEqual">
      <formula>0</formula>
    </cfRule>
  </conditionalFormatting>
  <conditionalFormatting sqref="F127">
    <cfRule type="cellIs" dxfId="5" priority="1848" operator="lessThan">
      <formula>-4100</formula>
    </cfRule>
  </conditionalFormatting>
  <conditionalFormatting sqref="F127">
    <cfRule type="cellIs" dxfId="4" priority="1849" operator="greaterThanOrEqual">
      <formula>0</formula>
    </cfRule>
  </conditionalFormatting>
  <conditionalFormatting sqref="F127">
    <cfRule type="cellIs" dxfId="5" priority="1850" operator="lessThan">
      <formula>-4100</formula>
    </cfRule>
  </conditionalFormatting>
  <conditionalFormatting sqref="F127">
    <cfRule type="cellIs" dxfId="4" priority="1851" operator="greaterThanOrEqual">
      <formula>0</formula>
    </cfRule>
  </conditionalFormatting>
  <conditionalFormatting sqref="F127">
    <cfRule type="cellIs" dxfId="5" priority="1852" operator="lessThan">
      <formula>-4100</formula>
    </cfRule>
  </conditionalFormatting>
  <conditionalFormatting sqref="E127">
    <cfRule type="cellIs" dxfId="6" priority="1853" operator="greaterThan">
      <formula>0</formula>
    </cfRule>
  </conditionalFormatting>
  <conditionalFormatting sqref="F90">
    <cfRule type="cellIs" dxfId="5" priority="1854" operator="lessThan">
      <formula>-4100</formula>
    </cfRule>
  </conditionalFormatting>
  <conditionalFormatting sqref="F90">
    <cfRule type="cellIs" dxfId="4" priority="1855" operator="greaterThanOrEqual">
      <formula>0</formula>
    </cfRule>
  </conditionalFormatting>
  <conditionalFormatting sqref="F90">
    <cfRule type="cellIs" dxfId="4" priority="1856" operator="greaterThanOrEqual">
      <formula>0</formula>
    </cfRule>
  </conditionalFormatting>
  <conditionalFormatting sqref="F90">
    <cfRule type="cellIs" dxfId="5" priority="1857" operator="lessThan">
      <formula>-4100</formula>
    </cfRule>
  </conditionalFormatting>
  <conditionalFormatting sqref="F90">
    <cfRule type="cellIs" dxfId="4" priority="1858" operator="greaterThanOrEqual">
      <formula>0</formula>
    </cfRule>
  </conditionalFormatting>
  <conditionalFormatting sqref="F90">
    <cfRule type="cellIs" dxfId="5" priority="1859" operator="lessThan">
      <formula>-4100</formula>
    </cfRule>
  </conditionalFormatting>
  <conditionalFormatting sqref="F90">
    <cfRule type="cellIs" dxfId="4" priority="1860" operator="greaterThanOrEqual">
      <formula>0</formula>
    </cfRule>
  </conditionalFormatting>
  <conditionalFormatting sqref="F90">
    <cfRule type="cellIs" dxfId="5" priority="1861" operator="lessThan">
      <formula>-4100</formula>
    </cfRule>
  </conditionalFormatting>
  <conditionalFormatting sqref="E90">
    <cfRule type="cellIs" dxfId="6" priority="1862" operator="greaterThan">
      <formula>0</formula>
    </cfRule>
  </conditionalFormatting>
  <conditionalFormatting sqref="F69">
    <cfRule type="cellIs" dxfId="5" priority="1863" operator="lessThan">
      <formula>-4100</formula>
    </cfRule>
  </conditionalFormatting>
  <conditionalFormatting sqref="F69">
    <cfRule type="cellIs" dxfId="4" priority="1864" operator="greaterThanOrEqual">
      <formula>0</formula>
    </cfRule>
  </conditionalFormatting>
  <conditionalFormatting sqref="F69">
    <cfRule type="cellIs" dxfId="4" priority="1865" operator="greaterThanOrEqual">
      <formula>0</formula>
    </cfRule>
  </conditionalFormatting>
  <conditionalFormatting sqref="F69">
    <cfRule type="cellIs" dxfId="5" priority="1866" operator="lessThan">
      <formula>-4100</formula>
    </cfRule>
  </conditionalFormatting>
  <conditionalFormatting sqref="F69">
    <cfRule type="cellIs" dxfId="4" priority="1867" operator="greaterThanOrEqual">
      <formula>0</formula>
    </cfRule>
  </conditionalFormatting>
  <conditionalFormatting sqref="F69">
    <cfRule type="cellIs" dxfId="5" priority="1868" operator="lessThan">
      <formula>-4100</formula>
    </cfRule>
  </conditionalFormatting>
  <conditionalFormatting sqref="F69">
    <cfRule type="cellIs" dxfId="4" priority="1869" operator="greaterThanOrEqual">
      <formula>0</formula>
    </cfRule>
  </conditionalFormatting>
  <conditionalFormatting sqref="F69">
    <cfRule type="cellIs" dxfId="5" priority="1870" operator="lessThan">
      <formula>-4100</formula>
    </cfRule>
  </conditionalFormatting>
  <conditionalFormatting sqref="F69">
    <cfRule type="cellIs" dxfId="4" priority="1871" operator="greaterThanOrEqual">
      <formula>0</formula>
    </cfRule>
  </conditionalFormatting>
  <conditionalFormatting sqref="F69">
    <cfRule type="cellIs" dxfId="5" priority="1872" operator="lessThan">
      <formula>-4100</formula>
    </cfRule>
  </conditionalFormatting>
  <conditionalFormatting sqref="F69">
    <cfRule type="cellIs" dxfId="5" priority="1873" operator="lessThan">
      <formula>-4100</formula>
    </cfRule>
  </conditionalFormatting>
  <conditionalFormatting sqref="F69">
    <cfRule type="cellIs" dxfId="4" priority="1874" operator="greaterThanOrEqual">
      <formula>0</formula>
    </cfRule>
  </conditionalFormatting>
  <conditionalFormatting sqref="F69">
    <cfRule type="cellIs" dxfId="4" priority="1875" operator="greaterThanOrEqual">
      <formula>0</formula>
    </cfRule>
  </conditionalFormatting>
  <conditionalFormatting sqref="F69">
    <cfRule type="cellIs" dxfId="5" priority="1876" operator="lessThan">
      <formula>-4100</formula>
    </cfRule>
  </conditionalFormatting>
  <conditionalFormatting sqref="F69">
    <cfRule type="cellIs" dxfId="4" priority="1877" operator="greaterThanOrEqual">
      <formula>0</formula>
    </cfRule>
  </conditionalFormatting>
  <conditionalFormatting sqref="F69">
    <cfRule type="cellIs" dxfId="5" priority="1878" operator="lessThan">
      <formula>-4100</formula>
    </cfRule>
  </conditionalFormatting>
  <conditionalFormatting sqref="E69">
    <cfRule type="cellIs" dxfId="6" priority="1879" operator="greaterThan">
      <formula>0</formula>
    </cfRule>
  </conditionalFormatting>
  <conditionalFormatting sqref="F85">
    <cfRule type="cellIs" dxfId="5" priority="1880" operator="lessThan">
      <formula>-4100</formula>
    </cfRule>
  </conditionalFormatting>
  <conditionalFormatting sqref="F85">
    <cfRule type="cellIs" dxfId="4" priority="1881" operator="greaterThanOrEqual">
      <formula>0</formula>
    </cfRule>
  </conditionalFormatting>
  <conditionalFormatting sqref="F85">
    <cfRule type="cellIs" dxfId="4" priority="1882" operator="greaterThanOrEqual">
      <formula>0</formula>
    </cfRule>
  </conditionalFormatting>
  <conditionalFormatting sqref="F85">
    <cfRule type="cellIs" dxfId="5" priority="1883" operator="lessThan">
      <formula>-4100</formula>
    </cfRule>
  </conditionalFormatting>
  <conditionalFormatting sqref="F85">
    <cfRule type="cellIs" dxfId="4" priority="1884" operator="greaterThanOrEqual">
      <formula>0</formula>
    </cfRule>
  </conditionalFormatting>
  <conditionalFormatting sqref="F85">
    <cfRule type="cellIs" dxfId="5" priority="1885" operator="lessThan">
      <formula>-4100</formula>
    </cfRule>
  </conditionalFormatting>
  <conditionalFormatting sqref="F85">
    <cfRule type="cellIs" dxfId="4" priority="1886" operator="greaterThanOrEqual">
      <formula>0</formula>
    </cfRule>
  </conditionalFormatting>
  <conditionalFormatting sqref="F85">
    <cfRule type="cellIs" dxfId="5" priority="1887" operator="lessThan">
      <formula>-4100</formula>
    </cfRule>
  </conditionalFormatting>
  <conditionalFormatting sqref="F85">
    <cfRule type="cellIs" dxfId="4" priority="1888" operator="greaterThanOrEqual">
      <formula>0</formula>
    </cfRule>
  </conditionalFormatting>
  <conditionalFormatting sqref="F85">
    <cfRule type="cellIs" dxfId="5" priority="1889" operator="lessThan">
      <formula>-4100</formula>
    </cfRule>
  </conditionalFormatting>
  <conditionalFormatting sqref="F85">
    <cfRule type="cellIs" dxfId="5" priority="1890" operator="lessThan">
      <formula>-4100</formula>
    </cfRule>
  </conditionalFormatting>
  <conditionalFormatting sqref="F85">
    <cfRule type="cellIs" dxfId="4" priority="1891" operator="greaterThanOrEqual">
      <formula>0</formula>
    </cfRule>
  </conditionalFormatting>
  <conditionalFormatting sqref="F85">
    <cfRule type="cellIs" dxfId="4" priority="1892" operator="greaterThanOrEqual">
      <formula>0</formula>
    </cfRule>
  </conditionalFormatting>
  <conditionalFormatting sqref="F85">
    <cfRule type="cellIs" dxfId="5" priority="1893" operator="lessThan">
      <formula>-4100</formula>
    </cfRule>
  </conditionalFormatting>
  <conditionalFormatting sqref="F85">
    <cfRule type="cellIs" dxfId="4" priority="1894" operator="greaterThanOrEqual">
      <formula>0</formula>
    </cfRule>
  </conditionalFormatting>
  <conditionalFormatting sqref="F85">
    <cfRule type="cellIs" dxfId="5" priority="1895" operator="lessThan">
      <formula>-4100</formula>
    </cfRule>
  </conditionalFormatting>
  <conditionalFormatting sqref="E85">
    <cfRule type="cellIs" dxfId="6" priority="1896" operator="greaterThan">
      <formula>0</formula>
    </cfRule>
  </conditionalFormatting>
  <conditionalFormatting sqref="F542">
    <cfRule type="cellIs" dxfId="4" priority="1897" operator="greaterThanOrEqual">
      <formula>0</formula>
    </cfRule>
  </conditionalFormatting>
  <conditionalFormatting sqref="F542">
    <cfRule type="cellIs" dxfId="5" priority="1898" operator="lessThan">
      <formula>-4100</formula>
    </cfRule>
  </conditionalFormatting>
  <conditionalFormatting sqref="F542">
    <cfRule type="cellIs" dxfId="4" priority="1899" operator="greaterThanOrEqual">
      <formula>0</formula>
    </cfRule>
  </conditionalFormatting>
  <conditionalFormatting sqref="F542">
    <cfRule type="cellIs" dxfId="5" priority="1900" operator="lessThan">
      <formula>-4100</formula>
    </cfRule>
  </conditionalFormatting>
  <conditionalFormatting sqref="E542">
    <cfRule type="cellIs" dxfId="6" priority="1901" operator="greaterThan">
      <formula>0</formula>
    </cfRule>
  </conditionalFormatting>
  <conditionalFormatting sqref="F542">
    <cfRule type="cellIs" dxfId="4" priority="1902" operator="greaterThanOrEqual">
      <formula>0</formula>
    </cfRule>
  </conditionalFormatting>
  <conditionalFormatting sqref="F542">
    <cfRule type="cellIs" dxfId="5" priority="1903" operator="lessThan">
      <formula>-4100</formula>
    </cfRule>
  </conditionalFormatting>
  <conditionalFormatting sqref="F542">
    <cfRule type="cellIs" dxfId="4" priority="1904" operator="greaterThanOrEqual">
      <formula>0</formula>
    </cfRule>
  </conditionalFormatting>
  <conditionalFormatting sqref="F542">
    <cfRule type="cellIs" dxfId="5" priority="1905" operator="lessThan">
      <formula>-4100</formula>
    </cfRule>
  </conditionalFormatting>
  <conditionalFormatting sqref="F542">
    <cfRule type="cellIs" dxfId="4" priority="1906" operator="greaterThanOrEqual">
      <formula>0</formula>
    </cfRule>
  </conditionalFormatting>
  <conditionalFormatting sqref="F542">
    <cfRule type="cellIs" dxfId="5" priority="1907" operator="lessThan">
      <formula>-4100</formula>
    </cfRule>
  </conditionalFormatting>
  <conditionalFormatting sqref="F542">
    <cfRule type="cellIs" dxfId="4" priority="1908" operator="greaterThanOrEqual">
      <formula>0</formula>
    </cfRule>
  </conditionalFormatting>
  <conditionalFormatting sqref="F542">
    <cfRule type="cellIs" dxfId="5" priority="1909" operator="lessThan">
      <formula>-4100</formula>
    </cfRule>
  </conditionalFormatting>
  <conditionalFormatting sqref="F542">
    <cfRule type="cellIs" dxfId="4" priority="1910" operator="greaterThanOrEqual">
      <formula>0</formula>
    </cfRule>
  </conditionalFormatting>
  <conditionalFormatting sqref="F542">
    <cfRule type="cellIs" dxfId="5" priority="1911" operator="lessThan">
      <formula>-4100</formula>
    </cfRule>
  </conditionalFormatting>
  <conditionalFormatting sqref="F542">
    <cfRule type="cellIs" dxfId="4" priority="1912" operator="greaterThanOrEqual">
      <formula>0</formula>
    </cfRule>
  </conditionalFormatting>
  <conditionalFormatting sqref="F542">
    <cfRule type="cellIs" dxfId="5" priority="1913" operator="lessThan">
      <formula>-4100</formula>
    </cfRule>
  </conditionalFormatting>
  <conditionalFormatting sqref="F602">
    <cfRule type="cellIs" dxfId="5" priority="1914" operator="lessThan">
      <formula>-4100</formula>
    </cfRule>
  </conditionalFormatting>
  <conditionalFormatting sqref="F602">
    <cfRule type="cellIs" dxfId="4" priority="1915" operator="greaterThanOrEqual">
      <formula>0</formula>
    </cfRule>
  </conditionalFormatting>
  <conditionalFormatting sqref="F602">
    <cfRule type="cellIs" dxfId="4" priority="1916" operator="greaterThanOrEqual">
      <formula>0</formula>
    </cfRule>
  </conditionalFormatting>
  <conditionalFormatting sqref="F602">
    <cfRule type="cellIs" dxfId="5" priority="1917" operator="lessThan">
      <formula>-4100</formula>
    </cfRule>
  </conditionalFormatting>
  <conditionalFormatting sqref="F602">
    <cfRule type="cellIs" dxfId="4" priority="1918" operator="greaterThanOrEqual">
      <formula>0</formula>
    </cfRule>
  </conditionalFormatting>
  <conditionalFormatting sqref="F602">
    <cfRule type="cellIs" dxfId="5" priority="1919" operator="lessThan">
      <formula>-4100</formula>
    </cfRule>
  </conditionalFormatting>
  <conditionalFormatting sqref="F602">
    <cfRule type="cellIs" dxfId="4" priority="1920" operator="greaterThanOrEqual">
      <formula>0</formula>
    </cfRule>
  </conditionalFormatting>
  <conditionalFormatting sqref="F602">
    <cfRule type="cellIs" dxfId="5" priority="1921" operator="lessThan">
      <formula>-4100</formula>
    </cfRule>
  </conditionalFormatting>
  <conditionalFormatting sqref="F602">
    <cfRule type="cellIs" dxfId="4" priority="1922" operator="greaterThanOrEqual">
      <formula>0</formula>
    </cfRule>
  </conditionalFormatting>
  <conditionalFormatting sqref="F602">
    <cfRule type="cellIs" dxfId="5" priority="1923" operator="lessThan">
      <formula>-4100</formula>
    </cfRule>
  </conditionalFormatting>
  <conditionalFormatting sqref="F602">
    <cfRule type="cellIs" dxfId="5" priority="1924" operator="lessThan">
      <formula>-4100</formula>
    </cfRule>
  </conditionalFormatting>
  <conditionalFormatting sqref="F602">
    <cfRule type="cellIs" dxfId="4" priority="1925" operator="greaterThanOrEqual">
      <formula>0</formula>
    </cfRule>
  </conditionalFormatting>
  <conditionalFormatting sqref="F602">
    <cfRule type="cellIs" dxfId="4" priority="1926" operator="greaterThanOrEqual">
      <formula>0</formula>
    </cfRule>
  </conditionalFormatting>
  <conditionalFormatting sqref="F602">
    <cfRule type="cellIs" dxfId="5" priority="1927" operator="lessThan">
      <formula>-4100</formula>
    </cfRule>
  </conditionalFormatting>
  <conditionalFormatting sqref="F602">
    <cfRule type="cellIs" dxfId="4" priority="1928" operator="greaterThanOrEqual">
      <formula>0</formula>
    </cfRule>
  </conditionalFormatting>
  <conditionalFormatting sqref="F602">
    <cfRule type="cellIs" dxfId="5" priority="1929" operator="lessThan">
      <formula>-4100</formula>
    </cfRule>
  </conditionalFormatting>
  <conditionalFormatting sqref="E602">
    <cfRule type="cellIs" dxfId="6" priority="1930" operator="greaterThan">
      <formula>0</formula>
    </cfRule>
  </conditionalFormatting>
  <conditionalFormatting sqref="F231">
    <cfRule type="cellIs" dxfId="5" priority="1931" operator="lessThan">
      <formula>-4100</formula>
    </cfRule>
  </conditionalFormatting>
  <conditionalFormatting sqref="F231">
    <cfRule type="cellIs" dxfId="4" priority="1932" operator="greaterThanOrEqual">
      <formula>0</formula>
    </cfRule>
  </conditionalFormatting>
  <conditionalFormatting sqref="F231">
    <cfRule type="cellIs" dxfId="4" priority="1933" operator="greaterThanOrEqual">
      <formula>0</formula>
    </cfRule>
  </conditionalFormatting>
  <conditionalFormatting sqref="F231">
    <cfRule type="cellIs" dxfId="5" priority="1934" operator="lessThan">
      <formula>-4100</formula>
    </cfRule>
  </conditionalFormatting>
  <conditionalFormatting sqref="F231">
    <cfRule type="cellIs" dxfId="4" priority="1935" operator="greaterThanOrEqual">
      <formula>0</formula>
    </cfRule>
  </conditionalFormatting>
  <conditionalFormatting sqref="F231">
    <cfRule type="cellIs" dxfId="5" priority="1936" operator="lessThan">
      <formula>-4100</formula>
    </cfRule>
  </conditionalFormatting>
  <conditionalFormatting sqref="F231">
    <cfRule type="cellIs" dxfId="4" priority="1937" operator="greaterThanOrEqual">
      <formula>0</formula>
    </cfRule>
  </conditionalFormatting>
  <conditionalFormatting sqref="F231">
    <cfRule type="cellIs" dxfId="5" priority="1938" operator="lessThan">
      <formula>-4100</formula>
    </cfRule>
  </conditionalFormatting>
  <conditionalFormatting sqref="F231">
    <cfRule type="cellIs" dxfId="4" priority="1939" operator="greaterThanOrEqual">
      <formula>0</formula>
    </cfRule>
  </conditionalFormatting>
  <conditionalFormatting sqref="F231">
    <cfRule type="cellIs" dxfId="5" priority="1940" operator="lessThan">
      <formula>-4100</formula>
    </cfRule>
  </conditionalFormatting>
  <conditionalFormatting sqref="F231">
    <cfRule type="cellIs" dxfId="5" priority="1941" operator="lessThan">
      <formula>-4100</formula>
    </cfRule>
  </conditionalFormatting>
  <conditionalFormatting sqref="F231">
    <cfRule type="cellIs" dxfId="4" priority="1942" operator="greaterThanOrEqual">
      <formula>0</formula>
    </cfRule>
  </conditionalFormatting>
  <conditionalFormatting sqref="F231">
    <cfRule type="cellIs" dxfId="4" priority="1943" operator="greaterThanOrEqual">
      <formula>0</formula>
    </cfRule>
  </conditionalFormatting>
  <conditionalFormatting sqref="F231">
    <cfRule type="cellIs" dxfId="5" priority="1944" operator="lessThan">
      <formula>-4100</formula>
    </cfRule>
  </conditionalFormatting>
  <conditionalFormatting sqref="F231">
    <cfRule type="cellIs" dxfId="4" priority="1945" operator="greaterThanOrEqual">
      <formula>0</formula>
    </cfRule>
  </conditionalFormatting>
  <conditionalFormatting sqref="F231">
    <cfRule type="cellIs" dxfId="5" priority="1946" operator="lessThan">
      <formula>-4100</formula>
    </cfRule>
  </conditionalFormatting>
  <conditionalFormatting sqref="E231">
    <cfRule type="cellIs" dxfId="6" priority="1947" operator="greaterThan">
      <formula>0</formula>
    </cfRule>
  </conditionalFormatting>
  <conditionalFormatting sqref="F100">
    <cfRule type="cellIs" dxfId="5" priority="1948" operator="lessThan">
      <formula>-4100</formula>
    </cfRule>
  </conditionalFormatting>
  <conditionalFormatting sqref="F100">
    <cfRule type="cellIs" dxfId="4" priority="1949" operator="greaterThanOrEqual">
      <formula>0</formula>
    </cfRule>
  </conditionalFormatting>
  <conditionalFormatting sqref="F100">
    <cfRule type="cellIs" dxfId="4" priority="1950" operator="greaterThanOrEqual">
      <formula>0</formula>
    </cfRule>
  </conditionalFormatting>
  <conditionalFormatting sqref="F100">
    <cfRule type="cellIs" dxfId="5" priority="1951" operator="lessThan">
      <formula>-4100</formula>
    </cfRule>
  </conditionalFormatting>
  <conditionalFormatting sqref="F100">
    <cfRule type="cellIs" dxfId="4" priority="1952" operator="greaterThanOrEqual">
      <formula>0</formula>
    </cfRule>
  </conditionalFormatting>
  <conditionalFormatting sqref="F100">
    <cfRule type="cellIs" dxfId="5" priority="1953" operator="lessThan">
      <formula>-4100</formula>
    </cfRule>
  </conditionalFormatting>
  <conditionalFormatting sqref="F100">
    <cfRule type="cellIs" dxfId="4" priority="1954" operator="greaterThanOrEqual">
      <formula>0</formula>
    </cfRule>
  </conditionalFormatting>
  <conditionalFormatting sqref="F100">
    <cfRule type="cellIs" dxfId="5" priority="1955" operator="lessThan">
      <formula>-4100</formula>
    </cfRule>
  </conditionalFormatting>
  <conditionalFormatting sqref="E100">
    <cfRule type="cellIs" dxfId="6" priority="1956" operator="greaterThan">
      <formula>0</formula>
    </cfRule>
  </conditionalFormatting>
  <conditionalFormatting sqref="F300">
    <cfRule type="cellIs" dxfId="4" priority="1957" operator="greaterThanOrEqual">
      <formula>0</formula>
    </cfRule>
  </conditionalFormatting>
  <conditionalFormatting sqref="F300">
    <cfRule type="cellIs" dxfId="5" priority="1958" operator="lessThan">
      <formula>-4100</formula>
    </cfRule>
  </conditionalFormatting>
  <conditionalFormatting sqref="F300">
    <cfRule type="cellIs" dxfId="4" priority="1959" operator="greaterThanOrEqual">
      <formula>0</formula>
    </cfRule>
  </conditionalFormatting>
  <conditionalFormatting sqref="F300">
    <cfRule type="cellIs" dxfId="5" priority="1960" operator="lessThan">
      <formula>-4100</formula>
    </cfRule>
  </conditionalFormatting>
  <conditionalFormatting sqref="F300">
    <cfRule type="cellIs" dxfId="4" priority="1961" operator="greaterThanOrEqual">
      <formula>0</formula>
    </cfRule>
  </conditionalFormatting>
  <conditionalFormatting sqref="F300">
    <cfRule type="cellIs" dxfId="5" priority="1962" operator="lessThan">
      <formula>-4100</formula>
    </cfRule>
  </conditionalFormatting>
  <conditionalFormatting sqref="F300">
    <cfRule type="cellIs" dxfId="4" priority="1963" operator="greaterThanOrEqual">
      <formula>0</formula>
    </cfRule>
  </conditionalFormatting>
  <conditionalFormatting sqref="F300">
    <cfRule type="cellIs" dxfId="5" priority="1964" operator="lessThan">
      <formula>-4100</formula>
    </cfRule>
  </conditionalFormatting>
  <conditionalFormatting sqref="F300">
    <cfRule type="cellIs" dxfId="4" priority="1965" operator="greaterThanOrEqual">
      <formula>0</formula>
    </cfRule>
  </conditionalFormatting>
  <conditionalFormatting sqref="F300">
    <cfRule type="cellIs" dxfId="5" priority="1966" operator="lessThan">
      <formula>-4100</formula>
    </cfRule>
  </conditionalFormatting>
  <conditionalFormatting sqref="F300">
    <cfRule type="cellIs" dxfId="4" priority="1967" operator="greaterThanOrEqual">
      <formula>0</formula>
    </cfRule>
  </conditionalFormatting>
  <conditionalFormatting sqref="F300">
    <cfRule type="cellIs" dxfId="5" priority="1968" operator="lessThan">
      <formula>-4100</formula>
    </cfRule>
  </conditionalFormatting>
  <conditionalFormatting sqref="F300">
    <cfRule type="cellIs" dxfId="4" priority="1969" operator="greaterThanOrEqual">
      <formula>0</formula>
    </cfRule>
  </conditionalFormatting>
  <conditionalFormatting sqref="F300">
    <cfRule type="cellIs" dxfId="5" priority="1970" operator="lessThan">
      <formula>-4100</formula>
    </cfRule>
  </conditionalFormatting>
  <conditionalFormatting sqref="F300">
    <cfRule type="cellIs" dxfId="4" priority="1971" operator="greaterThanOrEqual">
      <formula>0</formula>
    </cfRule>
  </conditionalFormatting>
  <conditionalFormatting sqref="F300">
    <cfRule type="cellIs" dxfId="5" priority="1972" operator="lessThan">
      <formula>-4100</formula>
    </cfRule>
  </conditionalFormatting>
  <conditionalFormatting sqref="E300">
    <cfRule type="cellIs" dxfId="6" priority="1973" operator="greaterThan">
      <formula>0</formula>
    </cfRule>
  </conditionalFormatting>
  <conditionalFormatting sqref="F111">
    <cfRule type="cellIs" dxfId="5" priority="1974" operator="lessThan">
      <formula>-4100</formula>
    </cfRule>
  </conditionalFormatting>
  <conditionalFormatting sqref="F111">
    <cfRule type="cellIs" dxfId="4" priority="1975" operator="greaterThanOrEqual">
      <formula>0</formula>
    </cfRule>
  </conditionalFormatting>
  <conditionalFormatting sqref="F111">
    <cfRule type="cellIs" dxfId="4" priority="1976" operator="greaterThanOrEqual">
      <formula>0</formula>
    </cfRule>
  </conditionalFormatting>
  <conditionalFormatting sqref="F111">
    <cfRule type="cellIs" dxfId="5" priority="1977" operator="lessThan">
      <formula>-4100</formula>
    </cfRule>
  </conditionalFormatting>
  <conditionalFormatting sqref="F111">
    <cfRule type="cellIs" dxfId="4" priority="1978" operator="greaterThanOrEqual">
      <formula>0</formula>
    </cfRule>
  </conditionalFormatting>
  <conditionalFormatting sqref="F111">
    <cfRule type="cellIs" dxfId="5" priority="1979" operator="lessThan">
      <formula>-4100</formula>
    </cfRule>
  </conditionalFormatting>
  <conditionalFormatting sqref="F111">
    <cfRule type="cellIs" dxfId="4" priority="1980" operator="greaterThanOrEqual">
      <formula>0</formula>
    </cfRule>
  </conditionalFormatting>
  <conditionalFormatting sqref="F111">
    <cfRule type="cellIs" dxfId="5" priority="1981" operator="lessThan">
      <formula>-4100</formula>
    </cfRule>
  </conditionalFormatting>
  <conditionalFormatting sqref="E111">
    <cfRule type="cellIs" dxfId="6" priority="1982" operator="greaterThan">
      <formula>0</formula>
    </cfRule>
  </conditionalFormatting>
  <conditionalFormatting sqref="F137">
    <cfRule type="cellIs" dxfId="5" priority="1983" operator="lessThan">
      <formula>-4100</formula>
    </cfRule>
  </conditionalFormatting>
  <conditionalFormatting sqref="F137">
    <cfRule type="cellIs" dxfId="4" priority="1984" operator="greaterThanOrEqual">
      <formula>0</formula>
    </cfRule>
  </conditionalFormatting>
  <conditionalFormatting sqref="F137">
    <cfRule type="cellIs" dxfId="4" priority="1985" operator="greaterThanOrEqual">
      <formula>0</formula>
    </cfRule>
  </conditionalFormatting>
  <conditionalFormatting sqref="F137">
    <cfRule type="cellIs" dxfId="5" priority="1986" operator="lessThan">
      <formula>-4100</formula>
    </cfRule>
  </conditionalFormatting>
  <conditionalFormatting sqref="F137">
    <cfRule type="cellIs" dxfId="4" priority="1987" operator="greaterThanOrEqual">
      <formula>0</formula>
    </cfRule>
  </conditionalFormatting>
  <conditionalFormatting sqref="F137">
    <cfRule type="cellIs" dxfId="5" priority="1988" operator="lessThan">
      <formula>-4100</formula>
    </cfRule>
  </conditionalFormatting>
  <conditionalFormatting sqref="F137">
    <cfRule type="cellIs" dxfId="4" priority="1989" operator="greaterThanOrEqual">
      <formula>0</formula>
    </cfRule>
  </conditionalFormatting>
  <conditionalFormatting sqref="F137">
    <cfRule type="cellIs" dxfId="5" priority="1990" operator="lessThan">
      <formula>-4100</formula>
    </cfRule>
  </conditionalFormatting>
  <conditionalFormatting sqref="F137">
    <cfRule type="cellIs" dxfId="4" priority="1991" operator="greaterThanOrEqual">
      <formula>0</formula>
    </cfRule>
  </conditionalFormatting>
  <conditionalFormatting sqref="F137">
    <cfRule type="cellIs" dxfId="5" priority="1992" operator="lessThan">
      <formula>-4100</formula>
    </cfRule>
  </conditionalFormatting>
  <conditionalFormatting sqref="E137">
    <cfRule type="cellIs" dxfId="6" priority="1993" operator="greaterThan">
      <formula>0</formula>
    </cfRule>
  </conditionalFormatting>
  <conditionalFormatting sqref="F137">
    <cfRule type="cellIs" dxfId="4" priority="1994" operator="greaterThanOrEqual">
      <formula>0</formula>
    </cfRule>
  </conditionalFormatting>
  <conditionalFormatting sqref="F137">
    <cfRule type="cellIs" dxfId="5" priority="1995" operator="lessThan">
      <formula>-4100</formula>
    </cfRule>
  </conditionalFormatting>
  <conditionalFormatting sqref="F137">
    <cfRule type="cellIs" dxfId="4" priority="1996" operator="greaterThanOrEqual">
      <formula>0</formula>
    </cfRule>
  </conditionalFormatting>
  <conditionalFormatting sqref="F137">
    <cfRule type="cellIs" dxfId="5" priority="1997" operator="lessThan">
      <formula>-4100</formula>
    </cfRule>
  </conditionalFormatting>
  <conditionalFormatting sqref="F137">
    <cfRule type="cellIs" dxfId="4" priority="1998" operator="greaterThanOrEqual">
      <formula>0</formula>
    </cfRule>
  </conditionalFormatting>
  <conditionalFormatting sqref="F137">
    <cfRule type="cellIs" dxfId="5" priority="1999" operator="lessThan">
      <formula>-4100</formula>
    </cfRule>
  </conditionalFormatting>
  <conditionalFormatting sqref="F116">
    <cfRule type="cellIs" dxfId="5" priority="2000" operator="lessThan">
      <formula>-4100</formula>
    </cfRule>
  </conditionalFormatting>
  <conditionalFormatting sqref="F116">
    <cfRule type="cellIs" dxfId="4" priority="2001" operator="greaterThanOrEqual">
      <formula>0</formula>
    </cfRule>
  </conditionalFormatting>
  <conditionalFormatting sqref="F116">
    <cfRule type="cellIs" dxfId="4" priority="2002" operator="greaterThanOrEqual">
      <formula>0</formula>
    </cfRule>
  </conditionalFormatting>
  <conditionalFormatting sqref="F116">
    <cfRule type="cellIs" dxfId="5" priority="2003" operator="lessThan">
      <formula>-4100</formula>
    </cfRule>
  </conditionalFormatting>
  <conditionalFormatting sqref="F116">
    <cfRule type="cellIs" dxfId="4" priority="2004" operator="greaterThanOrEqual">
      <formula>0</formula>
    </cfRule>
  </conditionalFormatting>
  <conditionalFormatting sqref="F116">
    <cfRule type="cellIs" dxfId="5" priority="2005" operator="lessThan">
      <formula>-4100</formula>
    </cfRule>
  </conditionalFormatting>
  <conditionalFormatting sqref="F116">
    <cfRule type="cellIs" dxfId="4" priority="2006" operator="greaterThanOrEqual">
      <formula>0</formula>
    </cfRule>
  </conditionalFormatting>
  <conditionalFormatting sqref="F116">
    <cfRule type="cellIs" dxfId="5" priority="2007" operator="lessThan">
      <formula>-4100</formula>
    </cfRule>
  </conditionalFormatting>
  <conditionalFormatting sqref="E116">
    <cfRule type="cellIs" dxfId="6" priority="2008" operator="greaterThan">
      <formula>0</formula>
    </cfRule>
  </conditionalFormatting>
  <conditionalFormatting sqref="F122">
    <cfRule type="cellIs" dxfId="5" priority="2009" operator="lessThan">
      <formula>-4100</formula>
    </cfRule>
  </conditionalFormatting>
  <conditionalFormatting sqref="F122">
    <cfRule type="cellIs" dxfId="4" priority="2010" operator="greaterThanOrEqual">
      <formula>0</formula>
    </cfRule>
  </conditionalFormatting>
  <conditionalFormatting sqref="F122">
    <cfRule type="cellIs" dxfId="4" priority="2011" operator="greaterThanOrEqual">
      <formula>0</formula>
    </cfRule>
  </conditionalFormatting>
  <conditionalFormatting sqref="F122">
    <cfRule type="cellIs" dxfId="5" priority="2012" operator="lessThan">
      <formula>-4100</formula>
    </cfRule>
  </conditionalFormatting>
  <conditionalFormatting sqref="F122">
    <cfRule type="cellIs" dxfId="4" priority="2013" operator="greaterThanOrEqual">
      <formula>0</formula>
    </cfRule>
  </conditionalFormatting>
  <conditionalFormatting sqref="F122">
    <cfRule type="cellIs" dxfId="5" priority="2014" operator="lessThan">
      <formula>-4100</formula>
    </cfRule>
  </conditionalFormatting>
  <conditionalFormatting sqref="F122">
    <cfRule type="cellIs" dxfId="4" priority="2015" operator="greaterThanOrEqual">
      <formula>0</formula>
    </cfRule>
  </conditionalFormatting>
  <conditionalFormatting sqref="F122">
    <cfRule type="cellIs" dxfId="5" priority="2016" operator="lessThan">
      <formula>-4100</formula>
    </cfRule>
  </conditionalFormatting>
  <conditionalFormatting sqref="E122">
    <cfRule type="cellIs" dxfId="6" priority="2017" operator="greaterThan">
      <formula>0</formula>
    </cfRule>
  </conditionalFormatting>
  <conditionalFormatting sqref="F226">
    <cfRule type="cellIs" dxfId="5" priority="2018" operator="lessThan">
      <formula>-4100</formula>
    </cfRule>
  </conditionalFormatting>
  <conditionalFormatting sqref="F226">
    <cfRule type="cellIs" dxfId="4" priority="2019" operator="greaterThanOrEqual">
      <formula>0</formula>
    </cfRule>
  </conditionalFormatting>
  <conditionalFormatting sqref="F226">
    <cfRule type="cellIs" dxfId="4" priority="2020" operator="greaterThanOrEqual">
      <formula>0</formula>
    </cfRule>
  </conditionalFormatting>
  <conditionalFormatting sqref="F226">
    <cfRule type="cellIs" dxfId="5" priority="2021" operator="lessThan">
      <formula>-4100</formula>
    </cfRule>
  </conditionalFormatting>
  <conditionalFormatting sqref="F226">
    <cfRule type="cellIs" dxfId="4" priority="2022" operator="greaterThanOrEqual">
      <formula>0</formula>
    </cfRule>
  </conditionalFormatting>
  <conditionalFormatting sqref="F226">
    <cfRule type="cellIs" dxfId="5" priority="2023" operator="lessThan">
      <formula>-4100</formula>
    </cfRule>
  </conditionalFormatting>
  <conditionalFormatting sqref="F226">
    <cfRule type="cellIs" dxfId="4" priority="2024" operator="greaterThanOrEqual">
      <formula>0</formula>
    </cfRule>
  </conditionalFormatting>
  <conditionalFormatting sqref="F226">
    <cfRule type="cellIs" dxfId="5" priority="2025" operator="lessThan">
      <formula>-4100</formula>
    </cfRule>
  </conditionalFormatting>
  <conditionalFormatting sqref="E226">
    <cfRule type="cellIs" dxfId="6" priority="2026" operator="greaterThan">
      <formula>0</formula>
    </cfRule>
  </conditionalFormatting>
  <conditionalFormatting sqref="F221">
    <cfRule type="cellIs" dxfId="5" priority="2027" operator="lessThan">
      <formula>-4100</formula>
    </cfRule>
  </conditionalFormatting>
  <conditionalFormatting sqref="F221">
    <cfRule type="cellIs" dxfId="4" priority="2028" operator="greaterThanOrEqual">
      <formula>0</formula>
    </cfRule>
  </conditionalFormatting>
  <conditionalFormatting sqref="F221">
    <cfRule type="cellIs" dxfId="4" priority="2029" operator="greaterThanOrEqual">
      <formula>0</formula>
    </cfRule>
  </conditionalFormatting>
  <conditionalFormatting sqref="F221">
    <cfRule type="cellIs" dxfId="5" priority="2030" operator="lessThan">
      <formula>-4100</formula>
    </cfRule>
  </conditionalFormatting>
  <conditionalFormatting sqref="F221">
    <cfRule type="cellIs" dxfId="4" priority="2031" operator="greaterThanOrEqual">
      <formula>0</formula>
    </cfRule>
  </conditionalFormatting>
  <conditionalFormatting sqref="F221">
    <cfRule type="cellIs" dxfId="5" priority="2032" operator="lessThan">
      <formula>-4100</formula>
    </cfRule>
  </conditionalFormatting>
  <conditionalFormatting sqref="F221">
    <cfRule type="cellIs" dxfId="4" priority="2033" operator="greaterThanOrEqual">
      <formula>0</formula>
    </cfRule>
  </conditionalFormatting>
  <conditionalFormatting sqref="F221">
    <cfRule type="cellIs" dxfId="5" priority="2034" operator="lessThan">
      <formula>-4100</formula>
    </cfRule>
  </conditionalFormatting>
  <conditionalFormatting sqref="E221">
    <cfRule type="cellIs" dxfId="6" priority="2035" operator="greaterThan">
      <formula>0</formula>
    </cfRule>
  </conditionalFormatting>
  <conditionalFormatting sqref="F189">
    <cfRule type="cellIs" dxfId="5" priority="2036" operator="lessThan">
      <formula>-4100</formula>
    </cfRule>
  </conditionalFormatting>
  <conditionalFormatting sqref="F189">
    <cfRule type="cellIs" dxfId="4" priority="2037" operator="greaterThanOrEqual">
      <formula>0</formula>
    </cfRule>
  </conditionalFormatting>
  <conditionalFormatting sqref="F189">
    <cfRule type="cellIs" dxfId="4" priority="2038" operator="greaterThanOrEqual">
      <formula>0</formula>
    </cfRule>
  </conditionalFormatting>
  <conditionalFormatting sqref="F189">
    <cfRule type="cellIs" dxfId="5" priority="2039" operator="lessThan">
      <formula>-4100</formula>
    </cfRule>
  </conditionalFormatting>
  <conditionalFormatting sqref="F189">
    <cfRule type="cellIs" dxfId="4" priority="2040" operator="greaterThanOrEqual">
      <formula>0</formula>
    </cfRule>
  </conditionalFormatting>
  <conditionalFormatting sqref="F189">
    <cfRule type="cellIs" dxfId="5" priority="2041" operator="lessThan">
      <formula>-4100</formula>
    </cfRule>
  </conditionalFormatting>
  <conditionalFormatting sqref="F189">
    <cfRule type="cellIs" dxfId="4" priority="2042" operator="greaterThanOrEqual">
      <formula>0</formula>
    </cfRule>
  </conditionalFormatting>
  <conditionalFormatting sqref="F189">
    <cfRule type="cellIs" dxfId="5" priority="2043" operator="lessThan">
      <formula>-4100</formula>
    </cfRule>
  </conditionalFormatting>
  <conditionalFormatting sqref="E189">
    <cfRule type="cellIs" dxfId="6" priority="2044" operator="greaterThan">
      <formula>0</formula>
    </cfRule>
  </conditionalFormatting>
  <conditionalFormatting sqref="F194">
    <cfRule type="cellIs" dxfId="5" priority="2045" operator="lessThan">
      <formula>-4100</formula>
    </cfRule>
  </conditionalFormatting>
  <conditionalFormatting sqref="F194">
    <cfRule type="cellIs" dxfId="4" priority="2046" operator="greaterThanOrEqual">
      <formula>0</formula>
    </cfRule>
  </conditionalFormatting>
  <conditionalFormatting sqref="F194">
    <cfRule type="cellIs" dxfId="4" priority="2047" operator="greaterThanOrEqual">
      <formula>0</formula>
    </cfRule>
  </conditionalFormatting>
  <conditionalFormatting sqref="F194">
    <cfRule type="cellIs" dxfId="5" priority="2048" operator="lessThan">
      <formula>-4100</formula>
    </cfRule>
  </conditionalFormatting>
  <conditionalFormatting sqref="F194">
    <cfRule type="cellIs" dxfId="4" priority="2049" operator="greaterThanOrEqual">
      <formula>0</formula>
    </cfRule>
  </conditionalFormatting>
  <conditionalFormatting sqref="F194">
    <cfRule type="cellIs" dxfId="5" priority="2050" operator="lessThan">
      <formula>-4100</formula>
    </cfRule>
  </conditionalFormatting>
  <conditionalFormatting sqref="F194">
    <cfRule type="cellIs" dxfId="4" priority="2051" operator="greaterThanOrEqual">
      <formula>0</formula>
    </cfRule>
  </conditionalFormatting>
  <conditionalFormatting sqref="F194">
    <cfRule type="cellIs" dxfId="5" priority="2052" operator="lessThan">
      <formula>-4100</formula>
    </cfRule>
  </conditionalFormatting>
  <conditionalFormatting sqref="F194">
    <cfRule type="cellIs" dxfId="4" priority="2053" operator="greaterThanOrEqual">
      <formula>0</formula>
    </cfRule>
  </conditionalFormatting>
  <conditionalFormatting sqref="F194">
    <cfRule type="cellIs" dxfId="5" priority="2054" operator="lessThan">
      <formula>-4100</formula>
    </cfRule>
  </conditionalFormatting>
  <conditionalFormatting sqref="E194">
    <cfRule type="cellIs" dxfId="6" priority="2055" operator="greaterThan">
      <formula>0</formula>
    </cfRule>
  </conditionalFormatting>
  <conditionalFormatting sqref="F194">
    <cfRule type="cellIs" dxfId="4" priority="2056" operator="greaterThanOrEqual">
      <formula>0</formula>
    </cfRule>
  </conditionalFormatting>
  <conditionalFormatting sqref="F194">
    <cfRule type="cellIs" dxfId="5" priority="2057" operator="lessThan">
      <formula>-4100</formula>
    </cfRule>
  </conditionalFormatting>
  <conditionalFormatting sqref="F194">
    <cfRule type="cellIs" dxfId="4" priority="2058" operator="greaterThanOrEqual">
      <formula>0</formula>
    </cfRule>
  </conditionalFormatting>
  <conditionalFormatting sqref="F194">
    <cfRule type="cellIs" dxfId="5" priority="2059" operator="lessThan">
      <formula>-4100</formula>
    </cfRule>
  </conditionalFormatting>
  <conditionalFormatting sqref="F194">
    <cfRule type="cellIs" dxfId="4" priority="2060" operator="greaterThanOrEqual">
      <formula>0</formula>
    </cfRule>
  </conditionalFormatting>
  <conditionalFormatting sqref="F194">
    <cfRule type="cellIs" dxfId="5" priority="2061" operator="lessThan">
      <formula>-4100</formula>
    </cfRule>
  </conditionalFormatting>
  <conditionalFormatting sqref="F152">
    <cfRule type="cellIs" dxfId="5" priority="2062" operator="lessThan">
      <formula>-4100</formula>
    </cfRule>
  </conditionalFormatting>
  <conditionalFormatting sqref="F152">
    <cfRule type="cellIs" dxfId="4" priority="2063" operator="greaterThanOrEqual">
      <formula>0</formula>
    </cfRule>
  </conditionalFormatting>
  <conditionalFormatting sqref="F152">
    <cfRule type="cellIs" dxfId="4" priority="2064" operator="greaterThanOrEqual">
      <formula>0</formula>
    </cfRule>
  </conditionalFormatting>
  <conditionalFormatting sqref="F152">
    <cfRule type="cellIs" dxfId="5" priority="2065" operator="lessThan">
      <formula>-4100</formula>
    </cfRule>
  </conditionalFormatting>
  <conditionalFormatting sqref="F152">
    <cfRule type="cellIs" dxfId="4" priority="2066" operator="greaterThanOrEqual">
      <formula>0</formula>
    </cfRule>
  </conditionalFormatting>
  <conditionalFormatting sqref="F152">
    <cfRule type="cellIs" dxfId="5" priority="2067" operator="lessThan">
      <formula>-4100</formula>
    </cfRule>
  </conditionalFormatting>
  <conditionalFormatting sqref="F152">
    <cfRule type="cellIs" dxfId="4" priority="2068" operator="greaterThanOrEqual">
      <formula>0</formula>
    </cfRule>
  </conditionalFormatting>
  <conditionalFormatting sqref="F152">
    <cfRule type="cellIs" dxfId="5" priority="2069" operator="lessThan">
      <formula>-4100</formula>
    </cfRule>
  </conditionalFormatting>
  <conditionalFormatting sqref="E152">
    <cfRule type="cellIs" dxfId="6" priority="2070" operator="greaterThan">
      <formula>0</formula>
    </cfRule>
  </conditionalFormatting>
  <conditionalFormatting sqref="F215">
    <cfRule type="cellIs" dxfId="5" priority="2071" operator="lessThan">
      <formula>-4100</formula>
    </cfRule>
  </conditionalFormatting>
  <conditionalFormatting sqref="F215">
    <cfRule type="cellIs" dxfId="4" priority="2072" operator="greaterThanOrEqual">
      <formula>0</formula>
    </cfRule>
  </conditionalFormatting>
  <conditionalFormatting sqref="F215">
    <cfRule type="cellIs" dxfId="4" priority="2073" operator="greaterThanOrEqual">
      <formula>0</formula>
    </cfRule>
  </conditionalFormatting>
  <conditionalFormatting sqref="F215">
    <cfRule type="cellIs" dxfId="5" priority="2074" operator="lessThan">
      <formula>-4100</formula>
    </cfRule>
  </conditionalFormatting>
  <conditionalFormatting sqref="F215">
    <cfRule type="cellIs" dxfId="4" priority="2075" operator="greaterThanOrEqual">
      <formula>0</formula>
    </cfRule>
  </conditionalFormatting>
  <conditionalFormatting sqref="F215">
    <cfRule type="cellIs" dxfId="5" priority="2076" operator="lessThan">
      <formula>-4100</formula>
    </cfRule>
  </conditionalFormatting>
  <conditionalFormatting sqref="F215">
    <cfRule type="cellIs" dxfId="4" priority="2077" operator="greaterThanOrEqual">
      <formula>0</formula>
    </cfRule>
  </conditionalFormatting>
  <conditionalFormatting sqref="F215">
    <cfRule type="cellIs" dxfId="5" priority="2078" operator="lessThan">
      <formula>-4100</formula>
    </cfRule>
  </conditionalFormatting>
  <conditionalFormatting sqref="F215">
    <cfRule type="cellIs" dxfId="4" priority="2079" operator="greaterThanOrEqual">
      <formula>0</formula>
    </cfRule>
  </conditionalFormatting>
  <conditionalFormatting sqref="F215">
    <cfRule type="cellIs" dxfId="5" priority="2080" operator="lessThan">
      <formula>-4100</formula>
    </cfRule>
  </conditionalFormatting>
  <conditionalFormatting sqref="F215">
    <cfRule type="cellIs" dxfId="5" priority="2081" operator="lessThan">
      <formula>-4100</formula>
    </cfRule>
  </conditionalFormatting>
  <conditionalFormatting sqref="F215">
    <cfRule type="cellIs" dxfId="4" priority="2082" operator="greaterThanOrEqual">
      <formula>0</formula>
    </cfRule>
  </conditionalFormatting>
  <conditionalFormatting sqref="F215">
    <cfRule type="cellIs" dxfId="4" priority="2083" operator="greaterThanOrEqual">
      <formula>0</formula>
    </cfRule>
  </conditionalFormatting>
  <conditionalFormatting sqref="F215">
    <cfRule type="cellIs" dxfId="5" priority="2084" operator="lessThan">
      <formula>-4100</formula>
    </cfRule>
  </conditionalFormatting>
  <conditionalFormatting sqref="F215">
    <cfRule type="cellIs" dxfId="4" priority="2085" operator="greaterThanOrEqual">
      <formula>0</formula>
    </cfRule>
  </conditionalFormatting>
  <conditionalFormatting sqref="F215">
    <cfRule type="cellIs" dxfId="5" priority="2086" operator="lessThan">
      <formula>-4100</formula>
    </cfRule>
  </conditionalFormatting>
  <conditionalFormatting sqref="E215">
    <cfRule type="cellIs" dxfId="6" priority="2087" operator="greaterThan">
      <formula>0</formula>
    </cfRule>
  </conditionalFormatting>
  <conditionalFormatting sqref="F158">
    <cfRule type="cellIs" dxfId="5" priority="2088" operator="lessThan">
      <formula>-4100</formula>
    </cfRule>
  </conditionalFormatting>
  <conditionalFormatting sqref="F158">
    <cfRule type="cellIs" dxfId="4" priority="2089" operator="greaterThanOrEqual">
      <formula>0</formula>
    </cfRule>
  </conditionalFormatting>
  <conditionalFormatting sqref="F158">
    <cfRule type="cellIs" dxfId="4" priority="2090" operator="greaterThanOrEqual">
      <formula>0</formula>
    </cfRule>
  </conditionalFormatting>
  <conditionalFormatting sqref="F158">
    <cfRule type="cellIs" dxfId="5" priority="2091" operator="lessThan">
      <formula>-4100</formula>
    </cfRule>
  </conditionalFormatting>
  <conditionalFormatting sqref="F158">
    <cfRule type="cellIs" dxfId="4" priority="2092" operator="greaterThanOrEqual">
      <formula>0</formula>
    </cfRule>
  </conditionalFormatting>
  <conditionalFormatting sqref="F158">
    <cfRule type="cellIs" dxfId="5" priority="2093" operator="lessThan">
      <formula>-4100</formula>
    </cfRule>
  </conditionalFormatting>
  <conditionalFormatting sqref="F158">
    <cfRule type="cellIs" dxfId="4" priority="2094" operator="greaterThanOrEqual">
      <formula>0</formula>
    </cfRule>
  </conditionalFormatting>
  <conditionalFormatting sqref="F158">
    <cfRule type="cellIs" dxfId="5" priority="2095" operator="lessThan">
      <formula>-4100</formula>
    </cfRule>
  </conditionalFormatting>
  <conditionalFormatting sqref="E158">
    <cfRule type="cellIs" dxfId="6" priority="2096" operator="greaterThan">
      <formula>0</formula>
    </cfRule>
  </conditionalFormatting>
  <conditionalFormatting sqref="F168">
    <cfRule type="cellIs" dxfId="5" priority="2097" operator="lessThan">
      <formula>-4100</formula>
    </cfRule>
  </conditionalFormatting>
  <conditionalFormatting sqref="F168">
    <cfRule type="cellIs" dxfId="4" priority="2098" operator="greaterThanOrEqual">
      <formula>0</formula>
    </cfRule>
  </conditionalFormatting>
  <conditionalFormatting sqref="F168">
    <cfRule type="cellIs" dxfId="4" priority="2099" operator="greaterThanOrEqual">
      <formula>0</formula>
    </cfRule>
  </conditionalFormatting>
  <conditionalFormatting sqref="F168">
    <cfRule type="cellIs" dxfId="5" priority="2100" operator="lessThan">
      <formula>-4100</formula>
    </cfRule>
  </conditionalFormatting>
  <conditionalFormatting sqref="F168">
    <cfRule type="cellIs" dxfId="4" priority="2101" operator="greaterThanOrEqual">
      <formula>0</formula>
    </cfRule>
  </conditionalFormatting>
  <conditionalFormatting sqref="F168">
    <cfRule type="cellIs" dxfId="5" priority="2102" operator="lessThan">
      <formula>-4100</formula>
    </cfRule>
  </conditionalFormatting>
  <conditionalFormatting sqref="F168">
    <cfRule type="cellIs" dxfId="4" priority="2103" operator="greaterThanOrEqual">
      <formula>0</formula>
    </cfRule>
  </conditionalFormatting>
  <conditionalFormatting sqref="F168">
    <cfRule type="cellIs" dxfId="5" priority="2104" operator="lessThan">
      <formula>-4100</formula>
    </cfRule>
  </conditionalFormatting>
  <conditionalFormatting sqref="E168">
    <cfRule type="cellIs" dxfId="6" priority="2105" operator="greaterThan">
      <formula>0</formula>
    </cfRule>
  </conditionalFormatting>
  <conditionalFormatting sqref="F204">
    <cfRule type="cellIs" dxfId="5" priority="2106" operator="lessThan">
      <formula>-4100</formula>
    </cfRule>
  </conditionalFormatting>
  <conditionalFormatting sqref="F204">
    <cfRule type="cellIs" dxfId="4" priority="2107" operator="greaterThanOrEqual">
      <formula>0</formula>
    </cfRule>
  </conditionalFormatting>
  <conditionalFormatting sqref="F204">
    <cfRule type="cellIs" dxfId="4" priority="2108" operator="greaterThanOrEqual">
      <formula>0</formula>
    </cfRule>
  </conditionalFormatting>
  <conditionalFormatting sqref="F204">
    <cfRule type="cellIs" dxfId="5" priority="2109" operator="lessThan">
      <formula>-4100</formula>
    </cfRule>
  </conditionalFormatting>
  <conditionalFormatting sqref="F204">
    <cfRule type="cellIs" dxfId="4" priority="2110" operator="greaterThanOrEqual">
      <formula>0</formula>
    </cfRule>
  </conditionalFormatting>
  <conditionalFormatting sqref="F204">
    <cfRule type="cellIs" dxfId="5" priority="2111" operator="lessThan">
      <formula>-4100</formula>
    </cfRule>
  </conditionalFormatting>
  <conditionalFormatting sqref="F204">
    <cfRule type="cellIs" dxfId="4" priority="2112" operator="greaterThanOrEqual">
      <formula>0</formula>
    </cfRule>
  </conditionalFormatting>
  <conditionalFormatting sqref="F204">
    <cfRule type="cellIs" dxfId="5" priority="2113" operator="lessThan">
      <formula>-4100</formula>
    </cfRule>
  </conditionalFormatting>
  <conditionalFormatting sqref="F204">
    <cfRule type="cellIs" dxfId="4" priority="2114" operator="greaterThanOrEqual">
      <formula>0</formula>
    </cfRule>
  </conditionalFormatting>
  <conditionalFormatting sqref="F204">
    <cfRule type="cellIs" dxfId="5" priority="2115" operator="lessThan">
      <formula>-4100</formula>
    </cfRule>
  </conditionalFormatting>
  <conditionalFormatting sqref="F204">
    <cfRule type="cellIs" dxfId="5" priority="2116" operator="lessThan">
      <formula>-4100</formula>
    </cfRule>
  </conditionalFormatting>
  <conditionalFormatting sqref="F204">
    <cfRule type="cellIs" dxfId="4" priority="2117" operator="greaterThanOrEqual">
      <formula>0</formula>
    </cfRule>
  </conditionalFormatting>
  <conditionalFormatting sqref="F204">
    <cfRule type="cellIs" dxfId="4" priority="2118" operator="greaterThanOrEqual">
      <formula>0</formula>
    </cfRule>
  </conditionalFormatting>
  <conditionalFormatting sqref="F204">
    <cfRule type="cellIs" dxfId="5" priority="2119" operator="lessThan">
      <formula>-4100</formula>
    </cfRule>
  </conditionalFormatting>
  <conditionalFormatting sqref="F204">
    <cfRule type="cellIs" dxfId="4" priority="2120" operator="greaterThanOrEqual">
      <formula>0</formula>
    </cfRule>
  </conditionalFormatting>
  <conditionalFormatting sqref="F204">
    <cfRule type="cellIs" dxfId="5" priority="2121" operator="lessThan">
      <formula>-4100</formula>
    </cfRule>
  </conditionalFormatting>
  <conditionalFormatting sqref="E204">
    <cfRule type="cellIs" dxfId="6" priority="2122" operator="greaterThan">
      <formula>0</formula>
    </cfRule>
  </conditionalFormatting>
  <conditionalFormatting sqref="F743">
    <cfRule type="cellIs" dxfId="5" priority="2123" operator="lessThan">
      <formula>-4100</formula>
    </cfRule>
  </conditionalFormatting>
  <conditionalFormatting sqref="F743">
    <cfRule type="cellIs" dxfId="4" priority="2124" operator="greaterThanOrEqual">
      <formula>0</formula>
    </cfRule>
  </conditionalFormatting>
  <conditionalFormatting sqref="F743">
    <cfRule type="cellIs" dxfId="4" priority="2125" operator="greaterThanOrEqual">
      <formula>0</formula>
    </cfRule>
  </conditionalFormatting>
  <conditionalFormatting sqref="F743">
    <cfRule type="cellIs" dxfId="5" priority="2126" operator="lessThan">
      <formula>-4100</formula>
    </cfRule>
  </conditionalFormatting>
  <conditionalFormatting sqref="F743">
    <cfRule type="cellIs" dxfId="4" priority="2127" operator="greaterThanOrEqual">
      <formula>0</formula>
    </cfRule>
  </conditionalFormatting>
  <conditionalFormatting sqref="F743">
    <cfRule type="cellIs" dxfId="5" priority="2128" operator="lessThan">
      <formula>-4100</formula>
    </cfRule>
  </conditionalFormatting>
  <conditionalFormatting sqref="F743">
    <cfRule type="cellIs" dxfId="4" priority="2129" operator="greaterThanOrEqual">
      <formula>0</formula>
    </cfRule>
  </conditionalFormatting>
  <conditionalFormatting sqref="F743">
    <cfRule type="cellIs" dxfId="5" priority="2130" operator="lessThan">
      <formula>-4100</formula>
    </cfRule>
  </conditionalFormatting>
  <conditionalFormatting sqref="E743">
    <cfRule type="cellIs" dxfId="6" priority="2131" operator="greaterThan">
      <formula>0</formula>
    </cfRule>
  </conditionalFormatting>
  <conditionalFormatting sqref="F522">
    <cfRule type="cellIs" dxfId="5" priority="2132" operator="lessThan">
      <formula>-4100</formula>
    </cfRule>
  </conditionalFormatting>
  <conditionalFormatting sqref="F522">
    <cfRule type="cellIs" dxfId="4" priority="2133" operator="greaterThanOrEqual">
      <formula>0</formula>
    </cfRule>
  </conditionalFormatting>
  <conditionalFormatting sqref="F522">
    <cfRule type="cellIs" dxfId="4" priority="2134" operator="greaterThanOrEqual">
      <formula>0</formula>
    </cfRule>
  </conditionalFormatting>
  <conditionalFormatting sqref="F522">
    <cfRule type="cellIs" dxfId="5" priority="2135" operator="lessThan">
      <formula>-4100</formula>
    </cfRule>
  </conditionalFormatting>
  <conditionalFormatting sqref="F522">
    <cfRule type="cellIs" dxfId="4" priority="2136" operator="greaterThanOrEqual">
      <formula>0</formula>
    </cfRule>
  </conditionalFormatting>
  <conditionalFormatting sqref="F522">
    <cfRule type="cellIs" dxfId="5" priority="2137" operator="lessThan">
      <formula>-4100</formula>
    </cfRule>
  </conditionalFormatting>
  <conditionalFormatting sqref="F522">
    <cfRule type="cellIs" dxfId="5" priority="2138" operator="lessThan">
      <formula>-4100</formula>
    </cfRule>
  </conditionalFormatting>
  <conditionalFormatting sqref="F522">
    <cfRule type="cellIs" dxfId="4" priority="2139" operator="greaterThanOrEqual">
      <formula>0</formula>
    </cfRule>
  </conditionalFormatting>
  <conditionalFormatting sqref="F522">
    <cfRule type="cellIs" dxfId="4" priority="2140" operator="greaterThanOrEqual">
      <formula>0</formula>
    </cfRule>
  </conditionalFormatting>
  <conditionalFormatting sqref="F522">
    <cfRule type="cellIs" dxfId="5" priority="2141" operator="lessThan">
      <formula>-4100</formula>
    </cfRule>
  </conditionalFormatting>
  <conditionalFormatting sqref="F522">
    <cfRule type="cellIs" dxfId="4" priority="2142" operator="greaterThanOrEqual">
      <formula>0</formula>
    </cfRule>
  </conditionalFormatting>
  <conditionalFormatting sqref="F522">
    <cfRule type="cellIs" dxfId="5" priority="2143" operator="lessThan">
      <formula>-4100</formula>
    </cfRule>
  </conditionalFormatting>
  <conditionalFormatting sqref="E518:E522">
    <cfRule type="cellIs" dxfId="6" priority="2144" operator="greaterThan">
      <formula>0</formula>
    </cfRule>
  </conditionalFormatting>
  <conditionalFormatting sqref="F522">
    <cfRule type="cellIs" dxfId="4" priority="2145" operator="greaterThanOrEqual">
      <formula>0</formula>
    </cfRule>
  </conditionalFormatting>
  <conditionalFormatting sqref="F522">
    <cfRule type="cellIs" dxfId="5" priority="2146" operator="lessThan">
      <formula>-4100</formula>
    </cfRule>
  </conditionalFormatting>
  <conditionalFormatting sqref="F522">
    <cfRule type="cellIs" dxfId="4" priority="2147" operator="greaterThanOrEqual">
      <formula>0</formula>
    </cfRule>
  </conditionalFormatting>
  <conditionalFormatting sqref="F522">
    <cfRule type="cellIs" dxfId="5" priority="2148" operator="lessThan">
      <formula>-4100</formula>
    </cfRule>
  </conditionalFormatting>
  <conditionalFormatting sqref="F258">
    <cfRule type="cellIs" dxfId="5" priority="2149" operator="lessThan">
      <formula>-4100</formula>
    </cfRule>
  </conditionalFormatting>
  <conditionalFormatting sqref="F258">
    <cfRule type="cellIs" dxfId="4" priority="2150" operator="greaterThanOrEqual">
      <formula>0</formula>
    </cfRule>
  </conditionalFormatting>
  <conditionalFormatting sqref="F258">
    <cfRule type="cellIs" dxfId="4" priority="2151" operator="greaterThanOrEqual">
      <formula>0</formula>
    </cfRule>
  </conditionalFormatting>
  <conditionalFormatting sqref="F258">
    <cfRule type="cellIs" dxfId="5" priority="2152" operator="lessThan">
      <formula>-4100</formula>
    </cfRule>
  </conditionalFormatting>
  <conditionalFormatting sqref="F258">
    <cfRule type="cellIs" dxfId="4" priority="2153" operator="greaterThanOrEqual">
      <formula>0</formula>
    </cfRule>
  </conditionalFormatting>
  <conditionalFormatting sqref="F258">
    <cfRule type="cellIs" dxfId="5" priority="2154" operator="lessThan">
      <formula>-4100</formula>
    </cfRule>
  </conditionalFormatting>
  <conditionalFormatting sqref="F258">
    <cfRule type="cellIs" dxfId="4" priority="2155" operator="greaterThanOrEqual">
      <formula>0</formula>
    </cfRule>
  </conditionalFormatting>
  <conditionalFormatting sqref="F258">
    <cfRule type="cellIs" dxfId="5" priority="2156" operator="lessThan">
      <formula>-4100</formula>
    </cfRule>
  </conditionalFormatting>
  <conditionalFormatting sqref="F258">
    <cfRule type="cellIs" dxfId="4" priority="2157" operator="greaterThanOrEqual">
      <formula>0</formula>
    </cfRule>
  </conditionalFormatting>
  <conditionalFormatting sqref="F258">
    <cfRule type="cellIs" dxfId="5" priority="2158" operator="lessThan">
      <formula>-4100</formula>
    </cfRule>
  </conditionalFormatting>
  <conditionalFormatting sqref="F258">
    <cfRule type="cellIs" dxfId="5" priority="2159" operator="lessThan">
      <formula>-4100</formula>
    </cfRule>
  </conditionalFormatting>
  <conditionalFormatting sqref="F258">
    <cfRule type="cellIs" dxfId="4" priority="2160" operator="greaterThanOrEqual">
      <formula>0</formula>
    </cfRule>
  </conditionalFormatting>
  <conditionalFormatting sqref="F258">
    <cfRule type="cellIs" dxfId="4" priority="2161" operator="greaterThanOrEqual">
      <formula>0</formula>
    </cfRule>
  </conditionalFormatting>
  <conditionalFormatting sqref="F258">
    <cfRule type="cellIs" dxfId="5" priority="2162" operator="lessThan">
      <formula>-4100</formula>
    </cfRule>
  </conditionalFormatting>
  <conditionalFormatting sqref="F258">
    <cfRule type="cellIs" dxfId="4" priority="2163" operator="greaterThanOrEqual">
      <formula>0</formula>
    </cfRule>
  </conditionalFormatting>
  <conditionalFormatting sqref="F258">
    <cfRule type="cellIs" dxfId="5" priority="2164" operator="lessThan">
      <formula>-4100</formula>
    </cfRule>
  </conditionalFormatting>
  <conditionalFormatting sqref="E258">
    <cfRule type="cellIs" dxfId="6" priority="2165" operator="greaterThan">
      <formula>0</formula>
    </cfRule>
  </conditionalFormatting>
  <conditionalFormatting sqref="F236">
    <cfRule type="cellIs" dxfId="5" priority="2166" operator="lessThan">
      <formula>-4100</formula>
    </cfRule>
  </conditionalFormatting>
  <conditionalFormatting sqref="F236">
    <cfRule type="cellIs" dxfId="4" priority="2167" operator="greaterThanOrEqual">
      <formula>0</formula>
    </cfRule>
  </conditionalFormatting>
  <conditionalFormatting sqref="F236">
    <cfRule type="cellIs" dxfId="4" priority="2168" operator="greaterThanOrEqual">
      <formula>0</formula>
    </cfRule>
  </conditionalFormatting>
  <conditionalFormatting sqref="F236">
    <cfRule type="cellIs" dxfId="5" priority="2169" operator="lessThan">
      <formula>-4100</formula>
    </cfRule>
  </conditionalFormatting>
  <conditionalFormatting sqref="F236">
    <cfRule type="cellIs" dxfId="4" priority="2170" operator="greaterThanOrEqual">
      <formula>0</formula>
    </cfRule>
  </conditionalFormatting>
  <conditionalFormatting sqref="F236">
    <cfRule type="cellIs" dxfId="5" priority="2171" operator="lessThan">
      <formula>-4100</formula>
    </cfRule>
  </conditionalFormatting>
  <conditionalFormatting sqref="F236">
    <cfRule type="cellIs" dxfId="4" priority="2172" operator="greaterThanOrEqual">
      <formula>0</formula>
    </cfRule>
  </conditionalFormatting>
  <conditionalFormatting sqref="F236">
    <cfRule type="cellIs" dxfId="5" priority="2173" operator="lessThan">
      <formula>-4100</formula>
    </cfRule>
  </conditionalFormatting>
  <conditionalFormatting sqref="F236">
    <cfRule type="cellIs" dxfId="4" priority="2174" operator="greaterThanOrEqual">
      <formula>0</formula>
    </cfRule>
  </conditionalFormatting>
  <conditionalFormatting sqref="F236">
    <cfRule type="cellIs" dxfId="5" priority="2175" operator="lessThan">
      <formula>-4100</formula>
    </cfRule>
  </conditionalFormatting>
  <conditionalFormatting sqref="F236">
    <cfRule type="cellIs" dxfId="5" priority="2176" operator="lessThan">
      <formula>-4100</formula>
    </cfRule>
  </conditionalFormatting>
  <conditionalFormatting sqref="F236">
    <cfRule type="cellIs" dxfId="4" priority="2177" operator="greaterThanOrEqual">
      <formula>0</formula>
    </cfRule>
  </conditionalFormatting>
  <conditionalFormatting sqref="F236">
    <cfRule type="cellIs" dxfId="4" priority="2178" operator="greaterThanOrEqual">
      <formula>0</formula>
    </cfRule>
  </conditionalFormatting>
  <conditionalFormatting sqref="F236">
    <cfRule type="cellIs" dxfId="5" priority="2179" operator="lessThan">
      <formula>-4100</formula>
    </cfRule>
  </conditionalFormatting>
  <conditionalFormatting sqref="F236">
    <cfRule type="cellIs" dxfId="4" priority="2180" operator="greaterThanOrEqual">
      <formula>0</formula>
    </cfRule>
  </conditionalFormatting>
  <conditionalFormatting sqref="F236">
    <cfRule type="cellIs" dxfId="5" priority="2181" operator="lessThan">
      <formula>-4100</formula>
    </cfRule>
  </conditionalFormatting>
  <conditionalFormatting sqref="E236">
    <cfRule type="cellIs" dxfId="6" priority="2182" operator="greaterThan">
      <formula>0</formula>
    </cfRule>
  </conditionalFormatting>
  <conditionalFormatting sqref="F803">
    <cfRule type="cellIs" dxfId="4" priority="2183" operator="greaterThanOrEqual">
      <formula>0</formula>
    </cfRule>
  </conditionalFormatting>
  <conditionalFormatting sqref="F803">
    <cfRule type="cellIs" dxfId="5" priority="2184" operator="lessThan">
      <formula>-4100</formula>
    </cfRule>
  </conditionalFormatting>
  <conditionalFormatting sqref="F803">
    <cfRule type="cellIs" dxfId="4" priority="2185" operator="greaterThanOrEqual">
      <formula>0</formula>
    </cfRule>
  </conditionalFormatting>
  <conditionalFormatting sqref="F803">
    <cfRule type="cellIs" dxfId="5" priority="2186" operator="lessThan">
      <formula>-4100</formula>
    </cfRule>
  </conditionalFormatting>
  <conditionalFormatting sqref="F803">
    <cfRule type="cellIs" dxfId="4" priority="2187" operator="greaterThanOrEqual">
      <formula>0</formula>
    </cfRule>
  </conditionalFormatting>
  <conditionalFormatting sqref="F803">
    <cfRule type="cellIs" dxfId="5" priority="2188" operator="lessThan">
      <formula>-4100</formula>
    </cfRule>
  </conditionalFormatting>
  <conditionalFormatting sqref="F803">
    <cfRule type="cellIs" dxfId="4" priority="2189" operator="greaterThanOrEqual">
      <formula>0</formula>
    </cfRule>
  </conditionalFormatting>
  <conditionalFormatting sqref="F803">
    <cfRule type="cellIs" dxfId="5" priority="2190" operator="lessThan">
      <formula>-4100</formula>
    </cfRule>
  </conditionalFormatting>
  <conditionalFormatting sqref="F803">
    <cfRule type="cellIs" dxfId="4" priority="2191" operator="greaterThanOrEqual">
      <formula>0</formula>
    </cfRule>
  </conditionalFormatting>
  <conditionalFormatting sqref="F803">
    <cfRule type="cellIs" dxfId="5" priority="2192" operator="lessThan">
      <formula>-4100</formula>
    </cfRule>
  </conditionalFormatting>
  <conditionalFormatting sqref="F803">
    <cfRule type="cellIs" dxfId="4" priority="2193" operator="greaterThanOrEqual">
      <formula>0</formula>
    </cfRule>
  </conditionalFormatting>
  <conditionalFormatting sqref="F803">
    <cfRule type="cellIs" dxfId="5" priority="2194" operator="lessThan">
      <formula>-4100</formula>
    </cfRule>
  </conditionalFormatting>
  <conditionalFormatting sqref="F803">
    <cfRule type="cellIs" dxfId="4" priority="2195" operator="greaterThanOrEqual">
      <formula>0</formula>
    </cfRule>
  </conditionalFormatting>
  <conditionalFormatting sqref="F803">
    <cfRule type="cellIs" dxfId="5" priority="2196" operator="lessThan">
      <formula>-4100</formula>
    </cfRule>
  </conditionalFormatting>
  <conditionalFormatting sqref="F803">
    <cfRule type="cellIs" dxfId="4" priority="2197" operator="greaterThanOrEqual">
      <formula>0</formula>
    </cfRule>
  </conditionalFormatting>
  <conditionalFormatting sqref="F803">
    <cfRule type="cellIs" dxfId="5" priority="2198" operator="lessThan">
      <formula>-4100</formula>
    </cfRule>
  </conditionalFormatting>
  <conditionalFormatting sqref="E803">
    <cfRule type="cellIs" dxfId="6" priority="2199" operator="greaterThan">
      <formula>0</formula>
    </cfRule>
  </conditionalFormatting>
  <conditionalFormatting sqref="F738">
    <cfRule type="cellIs" dxfId="5" priority="2200" operator="lessThan">
      <formula>-4100</formula>
    </cfRule>
  </conditionalFormatting>
  <conditionalFormatting sqref="F738">
    <cfRule type="cellIs" dxfId="4" priority="2201" operator="greaterThanOrEqual">
      <formula>0</formula>
    </cfRule>
  </conditionalFormatting>
  <conditionalFormatting sqref="F738">
    <cfRule type="cellIs" dxfId="4" priority="2202" operator="greaterThanOrEqual">
      <formula>0</formula>
    </cfRule>
  </conditionalFormatting>
  <conditionalFormatting sqref="F738">
    <cfRule type="cellIs" dxfId="5" priority="2203" operator="lessThan">
      <formula>-4100</formula>
    </cfRule>
  </conditionalFormatting>
  <conditionalFormatting sqref="F738">
    <cfRule type="cellIs" dxfId="4" priority="2204" operator="greaterThanOrEqual">
      <formula>0</formula>
    </cfRule>
  </conditionalFormatting>
  <conditionalFormatting sqref="F738">
    <cfRule type="cellIs" dxfId="5" priority="2205" operator="lessThan">
      <formula>-4100</formula>
    </cfRule>
  </conditionalFormatting>
  <conditionalFormatting sqref="F738">
    <cfRule type="cellIs" dxfId="4" priority="2206" operator="greaterThanOrEqual">
      <formula>0</formula>
    </cfRule>
  </conditionalFormatting>
  <conditionalFormatting sqref="F738">
    <cfRule type="cellIs" dxfId="5" priority="2207" operator="lessThan">
      <formula>-4100</formula>
    </cfRule>
  </conditionalFormatting>
  <conditionalFormatting sqref="E738">
    <cfRule type="cellIs" dxfId="6" priority="2208" operator="greaterThan">
      <formula>0</formula>
    </cfRule>
  </conditionalFormatting>
  <conditionalFormatting sqref="F210">
    <cfRule type="cellIs" dxfId="5" priority="2209" operator="lessThan">
      <formula>-4100</formula>
    </cfRule>
  </conditionalFormatting>
  <conditionalFormatting sqref="F210">
    <cfRule type="cellIs" dxfId="4" priority="2210" operator="greaterThanOrEqual">
      <formula>0</formula>
    </cfRule>
  </conditionalFormatting>
  <conditionalFormatting sqref="F210">
    <cfRule type="cellIs" dxfId="4" priority="2211" operator="greaterThanOrEqual">
      <formula>0</formula>
    </cfRule>
  </conditionalFormatting>
  <conditionalFormatting sqref="F210">
    <cfRule type="cellIs" dxfId="5" priority="2212" operator="lessThan">
      <formula>-4100</formula>
    </cfRule>
  </conditionalFormatting>
  <conditionalFormatting sqref="F210">
    <cfRule type="cellIs" dxfId="4" priority="2213" operator="greaterThanOrEqual">
      <formula>0</formula>
    </cfRule>
  </conditionalFormatting>
  <conditionalFormatting sqref="F210">
    <cfRule type="cellIs" dxfId="5" priority="2214" operator="lessThan">
      <formula>-4100</formula>
    </cfRule>
  </conditionalFormatting>
  <conditionalFormatting sqref="F210">
    <cfRule type="cellIs" dxfId="4" priority="2215" operator="greaterThanOrEqual">
      <formula>0</formula>
    </cfRule>
  </conditionalFormatting>
  <conditionalFormatting sqref="F210">
    <cfRule type="cellIs" dxfId="5" priority="2216" operator="lessThan">
      <formula>-4100</formula>
    </cfRule>
  </conditionalFormatting>
  <conditionalFormatting sqref="F210">
    <cfRule type="cellIs" dxfId="4" priority="2217" operator="greaterThanOrEqual">
      <formula>0</formula>
    </cfRule>
  </conditionalFormatting>
  <conditionalFormatting sqref="F210">
    <cfRule type="cellIs" dxfId="5" priority="2218" operator="lessThan">
      <formula>-4100</formula>
    </cfRule>
  </conditionalFormatting>
  <conditionalFormatting sqref="E210">
    <cfRule type="cellIs" dxfId="6" priority="2219" operator="greaterThan">
      <formula>0</formula>
    </cfRule>
  </conditionalFormatting>
  <conditionalFormatting sqref="F210">
    <cfRule type="cellIs" dxfId="4" priority="2220" operator="greaterThanOrEqual">
      <formula>0</formula>
    </cfRule>
  </conditionalFormatting>
  <conditionalFormatting sqref="F210">
    <cfRule type="cellIs" dxfId="5" priority="2221" operator="lessThan">
      <formula>-4100</formula>
    </cfRule>
  </conditionalFormatting>
  <conditionalFormatting sqref="F210">
    <cfRule type="cellIs" dxfId="4" priority="2222" operator="greaterThanOrEqual">
      <formula>0</formula>
    </cfRule>
  </conditionalFormatting>
  <conditionalFormatting sqref="F210">
    <cfRule type="cellIs" dxfId="5" priority="2223" operator="lessThan">
      <formula>-4100</formula>
    </cfRule>
  </conditionalFormatting>
  <conditionalFormatting sqref="F210">
    <cfRule type="cellIs" dxfId="4" priority="2224" operator="greaterThanOrEqual">
      <formula>0</formula>
    </cfRule>
  </conditionalFormatting>
  <conditionalFormatting sqref="F210">
    <cfRule type="cellIs" dxfId="5" priority="2225" operator="lessThan">
      <formula>-4100</formula>
    </cfRule>
  </conditionalFormatting>
  <conditionalFormatting sqref="F798">
    <cfRule type="cellIs" dxfId="4" priority="2226" operator="greaterThanOrEqual">
      <formula>0</formula>
    </cfRule>
  </conditionalFormatting>
  <conditionalFormatting sqref="F798">
    <cfRule type="cellIs" dxfId="5" priority="2227" operator="lessThan">
      <formula>-4100</formula>
    </cfRule>
  </conditionalFormatting>
  <conditionalFormatting sqref="F798">
    <cfRule type="cellIs" dxfId="4" priority="2228" operator="greaterThanOrEqual">
      <formula>0</formula>
    </cfRule>
  </conditionalFormatting>
  <conditionalFormatting sqref="F798">
    <cfRule type="cellIs" dxfId="5" priority="2229" operator="lessThan">
      <formula>-4100</formula>
    </cfRule>
  </conditionalFormatting>
  <conditionalFormatting sqref="F798">
    <cfRule type="cellIs" dxfId="4" priority="2230" operator="greaterThanOrEqual">
      <formula>0</formula>
    </cfRule>
  </conditionalFormatting>
  <conditionalFormatting sqref="F798">
    <cfRule type="cellIs" dxfId="5" priority="2231" operator="lessThan">
      <formula>-4100</formula>
    </cfRule>
  </conditionalFormatting>
  <conditionalFormatting sqref="F798">
    <cfRule type="cellIs" dxfId="4" priority="2232" operator="greaterThanOrEqual">
      <formula>0</formula>
    </cfRule>
  </conditionalFormatting>
  <conditionalFormatting sqref="F798">
    <cfRule type="cellIs" dxfId="5" priority="2233" operator="lessThan">
      <formula>-4100</formula>
    </cfRule>
  </conditionalFormatting>
  <conditionalFormatting sqref="F798">
    <cfRule type="cellIs" dxfId="4" priority="2234" operator="greaterThanOrEqual">
      <formula>0</formula>
    </cfRule>
  </conditionalFormatting>
  <conditionalFormatting sqref="F798">
    <cfRule type="cellIs" dxfId="5" priority="2235" operator="lessThan">
      <formula>-4100</formula>
    </cfRule>
  </conditionalFormatting>
  <conditionalFormatting sqref="F798">
    <cfRule type="cellIs" dxfId="4" priority="2236" operator="greaterThanOrEqual">
      <formula>0</formula>
    </cfRule>
  </conditionalFormatting>
  <conditionalFormatting sqref="F798">
    <cfRule type="cellIs" dxfId="5" priority="2237" operator="lessThan">
      <formula>-4100</formula>
    </cfRule>
  </conditionalFormatting>
  <conditionalFormatting sqref="F798">
    <cfRule type="cellIs" dxfId="4" priority="2238" operator="greaterThanOrEqual">
      <formula>0</formula>
    </cfRule>
  </conditionalFormatting>
  <conditionalFormatting sqref="F798">
    <cfRule type="cellIs" dxfId="5" priority="2239" operator="lessThan">
      <formula>-4100</formula>
    </cfRule>
  </conditionalFormatting>
  <conditionalFormatting sqref="F798">
    <cfRule type="cellIs" dxfId="4" priority="2240" operator="greaterThanOrEqual">
      <formula>0</formula>
    </cfRule>
  </conditionalFormatting>
  <conditionalFormatting sqref="F798">
    <cfRule type="cellIs" dxfId="5" priority="2241" operator="lessThan">
      <formula>-4100</formula>
    </cfRule>
  </conditionalFormatting>
  <conditionalFormatting sqref="E798">
    <cfRule type="cellIs" dxfId="6" priority="2242" operator="greaterThan">
      <formula>0</formula>
    </cfRule>
  </conditionalFormatting>
  <conditionalFormatting sqref="F332">
    <cfRule type="cellIs" dxfId="5" priority="2243" operator="lessThan">
      <formula>-4100</formula>
    </cfRule>
  </conditionalFormatting>
  <conditionalFormatting sqref="F332">
    <cfRule type="cellIs" dxfId="4" priority="2244" operator="greaterThanOrEqual">
      <formula>0</formula>
    </cfRule>
  </conditionalFormatting>
  <conditionalFormatting sqref="F332">
    <cfRule type="cellIs" dxfId="4" priority="2245" operator="greaterThanOrEqual">
      <formula>0</formula>
    </cfRule>
  </conditionalFormatting>
  <conditionalFormatting sqref="F332">
    <cfRule type="cellIs" dxfId="5" priority="2246" operator="lessThan">
      <formula>-4100</formula>
    </cfRule>
  </conditionalFormatting>
  <conditionalFormatting sqref="F332">
    <cfRule type="cellIs" dxfId="4" priority="2247" operator="greaterThanOrEqual">
      <formula>0</formula>
    </cfRule>
  </conditionalFormatting>
  <conditionalFormatting sqref="F332">
    <cfRule type="cellIs" dxfId="5" priority="2248" operator="lessThan">
      <formula>-4100</formula>
    </cfRule>
  </conditionalFormatting>
  <conditionalFormatting sqref="F332">
    <cfRule type="cellIs" dxfId="4" priority="2249" operator="greaterThanOrEqual">
      <formula>0</formula>
    </cfRule>
  </conditionalFormatting>
  <conditionalFormatting sqref="F332">
    <cfRule type="cellIs" dxfId="5" priority="2250" operator="lessThan">
      <formula>-4100</formula>
    </cfRule>
  </conditionalFormatting>
  <conditionalFormatting sqref="F332">
    <cfRule type="cellIs" dxfId="4" priority="2251" operator="greaterThanOrEqual">
      <formula>0</formula>
    </cfRule>
  </conditionalFormatting>
  <conditionalFormatting sqref="F332">
    <cfRule type="cellIs" dxfId="5" priority="2252" operator="lessThan">
      <formula>-4100</formula>
    </cfRule>
  </conditionalFormatting>
  <conditionalFormatting sqref="F332">
    <cfRule type="cellIs" dxfId="5" priority="2253" operator="lessThan">
      <formula>-4100</formula>
    </cfRule>
  </conditionalFormatting>
  <conditionalFormatting sqref="F332">
    <cfRule type="cellIs" dxfId="4" priority="2254" operator="greaterThanOrEqual">
      <formula>0</formula>
    </cfRule>
  </conditionalFormatting>
  <conditionalFormatting sqref="F332">
    <cfRule type="cellIs" dxfId="4" priority="2255" operator="greaterThanOrEqual">
      <formula>0</formula>
    </cfRule>
  </conditionalFormatting>
  <conditionalFormatting sqref="F332">
    <cfRule type="cellIs" dxfId="5" priority="2256" operator="lessThan">
      <formula>-4100</formula>
    </cfRule>
  </conditionalFormatting>
  <conditionalFormatting sqref="F332">
    <cfRule type="cellIs" dxfId="4" priority="2257" operator="greaterThanOrEqual">
      <formula>0</formula>
    </cfRule>
  </conditionalFormatting>
  <conditionalFormatting sqref="F332">
    <cfRule type="cellIs" dxfId="5" priority="2258" operator="lessThan">
      <formula>-4100</formula>
    </cfRule>
  </conditionalFormatting>
  <conditionalFormatting sqref="E332">
    <cfRule type="cellIs" dxfId="6" priority="2259" operator="greaterThan">
      <formula>0</formula>
    </cfRule>
  </conditionalFormatting>
  <conditionalFormatting sqref="F252">
    <cfRule type="cellIs" dxfId="5" priority="2260" operator="lessThan">
      <formula>-4100</formula>
    </cfRule>
  </conditionalFormatting>
  <conditionalFormatting sqref="F252">
    <cfRule type="cellIs" dxfId="4" priority="2261" operator="greaterThanOrEqual">
      <formula>0</formula>
    </cfRule>
  </conditionalFormatting>
  <conditionalFormatting sqref="F252">
    <cfRule type="cellIs" dxfId="4" priority="2262" operator="greaterThanOrEqual">
      <formula>0</formula>
    </cfRule>
  </conditionalFormatting>
  <conditionalFormatting sqref="F252">
    <cfRule type="cellIs" dxfId="5" priority="2263" operator="lessThan">
      <formula>-4100</formula>
    </cfRule>
  </conditionalFormatting>
  <conditionalFormatting sqref="F252">
    <cfRule type="cellIs" dxfId="4" priority="2264" operator="greaterThanOrEqual">
      <formula>0</formula>
    </cfRule>
  </conditionalFormatting>
  <conditionalFormatting sqref="F252">
    <cfRule type="cellIs" dxfId="5" priority="2265" operator="lessThan">
      <formula>-4100</formula>
    </cfRule>
  </conditionalFormatting>
  <conditionalFormatting sqref="F252">
    <cfRule type="cellIs" dxfId="4" priority="2266" operator="greaterThanOrEqual">
      <formula>0</formula>
    </cfRule>
  </conditionalFormatting>
  <conditionalFormatting sqref="F252">
    <cfRule type="cellIs" dxfId="5" priority="2267" operator="lessThan">
      <formula>-4100</formula>
    </cfRule>
  </conditionalFormatting>
  <conditionalFormatting sqref="F252">
    <cfRule type="cellIs" dxfId="4" priority="2268" operator="greaterThanOrEqual">
      <formula>0</formula>
    </cfRule>
  </conditionalFormatting>
  <conditionalFormatting sqref="F252">
    <cfRule type="cellIs" dxfId="5" priority="2269" operator="lessThan">
      <formula>-4100</formula>
    </cfRule>
  </conditionalFormatting>
  <conditionalFormatting sqref="E252">
    <cfRule type="cellIs" dxfId="6" priority="2270" operator="greaterThan">
      <formula>0</formula>
    </cfRule>
  </conditionalFormatting>
  <conditionalFormatting sqref="F252">
    <cfRule type="cellIs" dxfId="4" priority="2271" operator="greaterThanOrEqual">
      <formula>0</formula>
    </cfRule>
  </conditionalFormatting>
  <conditionalFormatting sqref="F252">
    <cfRule type="cellIs" dxfId="5" priority="2272" operator="lessThan">
      <formula>-4100</formula>
    </cfRule>
  </conditionalFormatting>
  <conditionalFormatting sqref="F252">
    <cfRule type="cellIs" dxfId="4" priority="2273" operator="greaterThanOrEqual">
      <formula>0</formula>
    </cfRule>
  </conditionalFormatting>
  <conditionalFormatting sqref="F252">
    <cfRule type="cellIs" dxfId="5" priority="2274" operator="lessThan">
      <formula>-4100</formula>
    </cfRule>
  </conditionalFormatting>
  <conditionalFormatting sqref="F252">
    <cfRule type="cellIs" dxfId="4" priority="2275" operator="greaterThanOrEqual">
      <formula>0</formula>
    </cfRule>
  </conditionalFormatting>
  <conditionalFormatting sqref="F252">
    <cfRule type="cellIs" dxfId="5" priority="2276" operator="lessThan">
      <formula>-4100</formula>
    </cfRule>
  </conditionalFormatting>
  <conditionalFormatting sqref="F321">
    <cfRule type="cellIs" dxfId="5" priority="2277" operator="lessThan">
      <formula>-4100</formula>
    </cfRule>
  </conditionalFormatting>
  <conditionalFormatting sqref="F321">
    <cfRule type="cellIs" dxfId="4" priority="2278" operator="greaterThanOrEqual">
      <formula>0</formula>
    </cfRule>
  </conditionalFormatting>
  <conditionalFormatting sqref="F321">
    <cfRule type="cellIs" dxfId="4" priority="2279" operator="greaterThanOrEqual">
      <formula>0</formula>
    </cfRule>
  </conditionalFormatting>
  <conditionalFormatting sqref="F321">
    <cfRule type="cellIs" dxfId="5" priority="2280" operator="lessThan">
      <formula>-4100</formula>
    </cfRule>
  </conditionalFormatting>
  <conditionalFormatting sqref="F321">
    <cfRule type="cellIs" dxfId="4" priority="2281" operator="greaterThanOrEqual">
      <formula>0</formula>
    </cfRule>
  </conditionalFormatting>
  <conditionalFormatting sqref="F321">
    <cfRule type="cellIs" dxfId="5" priority="2282" operator="lessThan">
      <formula>-4100</formula>
    </cfRule>
  </conditionalFormatting>
  <conditionalFormatting sqref="F321">
    <cfRule type="cellIs" dxfId="4" priority="2283" operator="greaterThanOrEqual">
      <formula>0</formula>
    </cfRule>
  </conditionalFormatting>
  <conditionalFormatting sqref="F321">
    <cfRule type="cellIs" dxfId="5" priority="2284" operator="lessThan">
      <formula>-4100</formula>
    </cfRule>
  </conditionalFormatting>
  <conditionalFormatting sqref="F321">
    <cfRule type="cellIs" dxfId="4" priority="2285" operator="greaterThanOrEqual">
      <formula>0</formula>
    </cfRule>
  </conditionalFormatting>
  <conditionalFormatting sqref="F321">
    <cfRule type="cellIs" dxfId="5" priority="2286" operator="lessThan">
      <formula>-4100</formula>
    </cfRule>
  </conditionalFormatting>
  <conditionalFormatting sqref="F321">
    <cfRule type="cellIs" dxfId="5" priority="2287" operator="lessThan">
      <formula>-4100</formula>
    </cfRule>
  </conditionalFormatting>
  <conditionalFormatting sqref="F321">
    <cfRule type="cellIs" dxfId="4" priority="2288" operator="greaterThanOrEqual">
      <formula>0</formula>
    </cfRule>
  </conditionalFormatting>
  <conditionalFormatting sqref="F321">
    <cfRule type="cellIs" dxfId="4" priority="2289" operator="greaterThanOrEqual">
      <formula>0</formula>
    </cfRule>
  </conditionalFormatting>
  <conditionalFormatting sqref="F321">
    <cfRule type="cellIs" dxfId="5" priority="2290" operator="lessThan">
      <formula>-4100</formula>
    </cfRule>
  </conditionalFormatting>
  <conditionalFormatting sqref="F321">
    <cfRule type="cellIs" dxfId="4" priority="2291" operator="greaterThanOrEqual">
      <formula>0</formula>
    </cfRule>
  </conditionalFormatting>
  <conditionalFormatting sqref="F321">
    <cfRule type="cellIs" dxfId="5" priority="2292" operator="lessThan">
      <formula>-4100</formula>
    </cfRule>
  </conditionalFormatting>
  <conditionalFormatting sqref="E321">
    <cfRule type="cellIs" dxfId="6" priority="2293" operator="greaterThan">
      <formula>0</formula>
    </cfRule>
  </conditionalFormatting>
  <conditionalFormatting sqref="F285">
    <cfRule type="cellIs" dxfId="5" priority="2294" operator="lessThan">
      <formula>-4100</formula>
    </cfRule>
  </conditionalFormatting>
  <conditionalFormatting sqref="F285">
    <cfRule type="cellIs" dxfId="4" priority="2295" operator="greaterThanOrEqual">
      <formula>0</formula>
    </cfRule>
  </conditionalFormatting>
  <conditionalFormatting sqref="F285">
    <cfRule type="cellIs" dxfId="4" priority="2296" operator="greaterThanOrEqual">
      <formula>0</formula>
    </cfRule>
  </conditionalFormatting>
  <conditionalFormatting sqref="F285">
    <cfRule type="cellIs" dxfId="5" priority="2297" operator="lessThan">
      <formula>-4100</formula>
    </cfRule>
  </conditionalFormatting>
  <conditionalFormatting sqref="F285">
    <cfRule type="cellIs" dxfId="4" priority="2298" operator="greaterThanOrEqual">
      <formula>0</formula>
    </cfRule>
  </conditionalFormatting>
  <conditionalFormatting sqref="F285">
    <cfRule type="cellIs" dxfId="5" priority="2299" operator="lessThan">
      <formula>-4100</formula>
    </cfRule>
  </conditionalFormatting>
  <conditionalFormatting sqref="F285">
    <cfRule type="cellIs" dxfId="4" priority="2300" operator="greaterThanOrEqual">
      <formula>0</formula>
    </cfRule>
  </conditionalFormatting>
  <conditionalFormatting sqref="F285">
    <cfRule type="cellIs" dxfId="5" priority="2301" operator="lessThan">
      <formula>-4100</formula>
    </cfRule>
  </conditionalFormatting>
  <conditionalFormatting sqref="E285">
    <cfRule type="cellIs" dxfId="6" priority="2302" operator="greaterThan">
      <formula>0</formula>
    </cfRule>
  </conditionalFormatting>
  <conditionalFormatting sqref="F247">
    <cfRule type="cellIs" dxfId="5" priority="2303" operator="lessThan">
      <formula>-4100</formula>
    </cfRule>
  </conditionalFormatting>
  <conditionalFormatting sqref="F247">
    <cfRule type="cellIs" dxfId="4" priority="2304" operator="greaterThanOrEqual">
      <formula>0</formula>
    </cfRule>
  </conditionalFormatting>
  <conditionalFormatting sqref="F247">
    <cfRule type="cellIs" dxfId="4" priority="2305" operator="greaterThanOrEqual">
      <formula>0</formula>
    </cfRule>
  </conditionalFormatting>
  <conditionalFormatting sqref="F247">
    <cfRule type="cellIs" dxfId="5" priority="2306" operator="lessThan">
      <formula>-4100</formula>
    </cfRule>
  </conditionalFormatting>
  <conditionalFormatting sqref="F247">
    <cfRule type="cellIs" dxfId="4" priority="2307" operator="greaterThanOrEqual">
      <formula>0</formula>
    </cfRule>
  </conditionalFormatting>
  <conditionalFormatting sqref="F247">
    <cfRule type="cellIs" dxfId="5" priority="2308" operator="lessThan">
      <formula>-4100</formula>
    </cfRule>
  </conditionalFormatting>
  <conditionalFormatting sqref="F247">
    <cfRule type="cellIs" dxfId="4" priority="2309" operator="greaterThanOrEqual">
      <formula>0</formula>
    </cfRule>
  </conditionalFormatting>
  <conditionalFormatting sqref="F247">
    <cfRule type="cellIs" dxfId="5" priority="2310" operator="lessThan">
      <formula>-4100</formula>
    </cfRule>
  </conditionalFormatting>
  <conditionalFormatting sqref="E247">
    <cfRule type="cellIs" dxfId="6" priority="2311" operator="greaterThan">
      <formula>0</formula>
    </cfRule>
  </conditionalFormatting>
  <conditionalFormatting sqref="F242">
    <cfRule type="cellIs" dxfId="5" priority="2312" operator="lessThan">
      <formula>-4100</formula>
    </cfRule>
  </conditionalFormatting>
  <conditionalFormatting sqref="F242">
    <cfRule type="cellIs" dxfId="4" priority="2313" operator="greaterThanOrEqual">
      <formula>0</formula>
    </cfRule>
  </conditionalFormatting>
  <conditionalFormatting sqref="F242">
    <cfRule type="cellIs" dxfId="4" priority="2314" operator="greaterThanOrEqual">
      <formula>0</formula>
    </cfRule>
  </conditionalFormatting>
  <conditionalFormatting sqref="F242">
    <cfRule type="cellIs" dxfId="5" priority="2315" operator="lessThan">
      <formula>-4100</formula>
    </cfRule>
  </conditionalFormatting>
  <conditionalFormatting sqref="F242">
    <cfRule type="cellIs" dxfId="4" priority="2316" operator="greaterThanOrEqual">
      <formula>0</formula>
    </cfRule>
  </conditionalFormatting>
  <conditionalFormatting sqref="F242">
    <cfRule type="cellIs" dxfId="5" priority="2317" operator="lessThan">
      <formula>-4100</formula>
    </cfRule>
  </conditionalFormatting>
  <conditionalFormatting sqref="F242">
    <cfRule type="cellIs" dxfId="4" priority="2318" operator="greaterThanOrEqual">
      <formula>0</formula>
    </cfRule>
  </conditionalFormatting>
  <conditionalFormatting sqref="F242">
    <cfRule type="cellIs" dxfId="5" priority="2319" operator="lessThan">
      <formula>-4100</formula>
    </cfRule>
  </conditionalFormatting>
  <conditionalFormatting sqref="F242">
    <cfRule type="cellIs" dxfId="4" priority="2320" operator="greaterThanOrEqual">
      <formula>0</formula>
    </cfRule>
  </conditionalFormatting>
  <conditionalFormatting sqref="F242">
    <cfRule type="cellIs" dxfId="5" priority="2321" operator="lessThan">
      <formula>-4100</formula>
    </cfRule>
  </conditionalFormatting>
  <conditionalFormatting sqref="F242">
    <cfRule type="cellIs" dxfId="5" priority="2322" operator="lessThan">
      <formula>-4100</formula>
    </cfRule>
  </conditionalFormatting>
  <conditionalFormatting sqref="F242">
    <cfRule type="cellIs" dxfId="4" priority="2323" operator="greaterThanOrEqual">
      <formula>0</formula>
    </cfRule>
  </conditionalFormatting>
  <conditionalFormatting sqref="F242">
    <cfRule type="cellIs" dxfId="4" priority="2324" operator="greaterThanOrEqual">
      <formula>0</formula>
    </cfRule>
  </conditionalFormatting>
  <conditionalFormatting sqref="F242">
    <cfRule type="cellIs" dxfId="5" priority="2325" operator="lessThan">
      <formula>-4100</formula>
    </cfRule>
  </conditionalFormatting>
  <conditionalFormatting sqref="F242">
    <cfRule type="cellIs" dxfId="4" priority="2326" operator="greaterThanOrEqual">
      <formula>0</formula>
    </cfRule>
  </conditionalFormatting>
  <conditionalFormatting sqref="F242">
    <cfRule type="cellIs" dxfId="5" priority="2327" operator="lessThan">
      <formula>-4100</formula>
    </cfRule>
  </conditionalFormatting>
  <conditionalFormatting sqref="E242">
    <cfRule type="cellIs" dxfId="6" priority="2328" operator="greaterThan">
      <formula>0</formula>
    </cfRule>
  </conditionalFormatting>
  <conditionalFormatting sqref="F290">
    <cfRule type="cellIs" dxfId="5" priority="2329" operator="lessThan">
      <formula>-4100</formula>
    </cfRule>
  </conditionalFormatting>
  <conditionalFormatting sqref="F290">
    <cfRule type="cellIs" dxfId="4" priority="2330" operator="greaterThanOrEqual">
      <formula>0</formula>
    </cfRule>
  </conditionalFormatting>
  <conditionalFormatting sqref="F290">
    <cfRule type="cellIs" dxfId="4" priority="2331" operator="greaterThanOrEqual">
      <formula>0</formula>
    </cfRule>
  </conditionalFormatting>
  <conditionalFormatting sqref="F290">
    <cfRule type="cellIs" dxfId="5" priority="2332" operator="lessThan">
      <formula>-4100</formula>
    </cfRule>
  </conditionalFormatting>
  <conditionalFormatting sqref="F290">
    <cfRule type="cellIs" dxfId="4" priority="2333" operator="greaterThanOrEqual">
      <formula>0</formula>
    </cfRule>
  </conditionalFormatting>
  <conditionalFormatting sqref="F290">
    <cfRule type="cellIs" dxfId="5" priority="2334" operator="lessThan">
      <formula>-4100</formula>
    </cfRule>
  </conditionalFormatting>
  <conditionalFormatting sqref="F290">
    <cfRule type="cellIs" dxfId="4" priority="2335" operator="greaterThanOrEqual">
      <formula>0</formula>
    </cfRule>
  </conditionalFormatting>
  <conditionalFormatting sqref="F290">
    <cfRule type="cellIs" dxfId="5" priority="2336" operator="lessThan">
      <formula>-4100</formula>
    </cfRule>
  </conditionalFormatting>
  <conditionalFormatting sqref="F290">
    <cfRule type="cellIs" dxfId="4" priority="2337" operator="greaterThanOrEqual">
      <formula>0</formula>
    </cfRule>
  </conditionalFormatting>
  <conditionalFormatting sqref="F290">
    <cfRule type="cellIs" dxfId="5" priority="2338" operator="lessThan">
      <formula>-4100</formula>
    </cfRule>
  </conditionalFormatting>
  <conditionalFormatting sqref="F290">
    <cfRule type="cellIs" dxfId="5" priority="2339" operator="lessThan">
      <formula>-4100</formula>
    </cfRule>
  </conditionalFormatting>
  <conditionalFormatting sqref="F290">
    <cfRule type="cellIs" dxfId="4" priority="2340" operator="greaterThanOrEqual">
      <formula>0</formula>
    </cfRule>
  </conditionalFormatting>
  <conditionalFormatting sqref="F290">
    <cfRule type="cellIs" dxfId="4" priority="2341" operator="greaterThanOrEqual">
      <formula>0</formula>
    </cfRule>
  </conditionalFormatting>
  <conditionalFormatting sqref="F290">
    <cfRule type="cellIs" dxfId="5" priority="2342" operator="lessThan">
      <formula>-4100</formula>
    </cfRule>
  </conditionalFormatting>
  <conditionalFormatting sqref="F290">
    <cfRule type="cellIs" dxfId="4" priority="2343" operator="greaterThanOrEqual">
      <formula>0</formula>
    </cfRule>
  </conditionalFormatting>
  <conditionalFormatting sqref="F290">
    <cfRule type="cellIs" dxfId="5" priority="2344" operator="lessThan">
      <formula>-4100</formula>
    </cfRule>
  </conditionalFormatting>
  <conditionalFormatting sqref="E290">
    <cfRule type="cellIs" dxfId="6" priority="2345" operator="greaterThan">
      <formula>0</formula>
    </cfRule>
  </conditionalFormatting>
  <conditionalFormatting sqref="F452">
    <cfRule type="cellIs" dxfId="5" priority="2346" operator="lessThan">
      <formula>-4100</formula>
    </cfRule>
  </conditionalFormatting>
  <conditionalFormatting sqref="F452">
    <cfRule type="cellIs" dxfId="4" priority="2347" operator="greaterThanOrEqual">
      <formula>0</formula>
    </cfRule>
  </conditionalFormatting>
  <conditionalFormatting sqref="F452">
    <cfRule type="cellIs" dxfId="4" priority="2348" operator="greaterThanOrEqual">
      <formula>0</formula>
    </cfRule>
  </conditionalFormatting>
  <conditionalFormatting sqref="F452">
    <cfRule type="cellIs" dxfId="5" priority="2349" operator="lessThan">
      <formula>-4100</formula>
    </cfRule>
  </conditionalFormatting>
  <conditionalFormatting sqref="F452">
    <cfRule type="cellIs" dxfId="4" priority="2350" operator="greaterThanOrEqual">
      <formula>0</formula>
    </cfRule>
  </conditionalFormatting>
  <conditionalFormatting sqref="F452">
    <cfRule type="cellIs" dxfId="5" priority="2351" operator="lessThan">
      <formula>-4100</formula>
    </cfRule>
  </conditionalFormatting>
  <conditionalFormatting sqref="F452">
    <cfRule type="cellIs" dxfId="4" priority="2352" operator="greaterThanOrEqual">
      <formula>0</formula>
    </cfRule>
  </conditionalFormatting>
  <conditionalFormatting sqref="F452">
    <cfRule type="cellIs" dxfId="5" priority="2353" operator="lessThan">
      <formula>-4100</formula>
    </cfRule>
  </conditionalFormatting>
  <conditionalFormatting sqref="F452">
    <cfRule type="cellIs" dxfId="4" priority="2354" operator="greaterThanOrEqual">
      <formula>0</formula>
    </cfRule>
  </conditionalFormatting>
  <conditionalFormatting sqref="F452">
    <cfRule type="cellIs" dxfId="5" priority="2355" operator="lessThan">
      <formula>-4100</formula>
    </cfRule>
  </conditionalFormatting>
  <conditionalFormatting sqref="F452">
    <cfRule type="cellIs" dxfId="5" priority="2356" operator="lessThan">
      <formula>-4100</formula>
    </cfRule>
  </conditionalFormatting>
  <conditionalFormatting sqref="F452">
    <cfRule type="cellIs" dxfId="4" priority="2357" operator="greaterThanOrEqual">
      <formula>0</formula>
    </cfRule>
  </conditionalFormatting>
  <conditionalFormatting sqref="F452">
    <cfRule type="cellIs" dxfId="4" priority="2358" operator="greaterThanOrEqual">
      <formula>0</formula>
    </cfRule>
  </conditionalFormatting>
  <conditionalFormatting sqref="F452">
    <cfRule type="cellIs" dxfId="5" priority="2359" operator="lessThan">
      <formula>-4100</formula>
    </cfRule>
  </conditionalFormatting>
  <conditionalFormatting sqref="F452">
    <cfRule type="cellIs" dxfId="4" priority="2360" operator="greaterThanOrEqual">
      <formula>0</formula>
    </cfRule>
  </conditionalFormatting>
  <conditionalFormatting sqref="F452">
    <cfRule type="cellIs" dxfId="5" priority="2361" operator="lessThan">
      <formula>-4100</formula>
    </cfRule>
  </conditionalFormatting>
  <conditionalFormatting sqref="E452">
    <cfRule type="cellIs" dxfId="6" priority="2362" operator="greaterThan">
      <formula>0</formula>
    </cfRule>
  </conditionalFormatting>
  <conditionalFormatting sqref="F263">
    <cfRule type="cellIs" dxfId="5" priority="2363" operator="lessThan">
      <formula>-4100</formula>
    </cfRule>
  </conditionalFormatting>
  <conditionalFormatting sqref="F263">
    <cfRule type="cellIs" dxfId="4" priority="2364" operator="greaterThanOrEqual">
      <formula>0</formula>
    </cfRule>
  </conditionalFormatting>
  <conditionalFormatting sqref="F263">
    <cfRule type="cellIs" dxfId="4" priority="2365" operator="greaterThanOrEqual">
      <formula>0</formula>
    </cfRule>
  </conditionalFormatting>
  <conditionalFormatting sqref="F263">
    <cfRule type="cellIs" dxfId="5" priority="2366" operator="lessThan">
      <formula>-4100</formula>
    </cfRule>
  </conditionalFormatting>
  <conditionalFormatting sqref="F263">
    <cfRule type="cellIs" dxfId="4" priority="2367" operator="greaterThanOrEqual">
      <formula>0</formula>
    </cfRule>
  </conditionalFormatting>
  <conditionalFormatting sqref="F263">
    <cfRule type="cellIs" dxfId="5" priority="2368" operator="lessThan">
      <formula>-4100</formula>
    </cfRule>
  </conditionalFormatting>
  <conditionalFormatting sqref="F263">
    <cfRule type="cellIs" dxfId="4" priority="2369" operator="greaterThanOrEqual">
      <formula>0</formula>
    </cfRule>
  </conditionalFormatting>
  <conditionalFormatting sqref="F263">
    <cfRule type="cellIs" dxfId="5" priority="2370" operator="lessThan">
      <formula>-4100</formula>
    </cfRule>
  </conditionalFormatting>
  <conditionalFormatting sqref="E263">
    <cfRule type="cellIs" dxfId="6" priority="2371" operator="greaterThan">
      <formula>0</formula>
    </cfRule>
  </conditionalFormatting>
  <conditionalFormatting sqref="F269">
    <cfRule type="cellIs" dxfId="5" priority="2372" operator="lessThan">
      <formula>-4100</formula>
    </cfRule>
  </conditionalFormatting>
  <conditionalFormatting sqref="F269">
    <cfRule type="cellIs" dxfId="4" priority="2373" operator="greaterThanOrEqual">
      <formula>0</formula>
    </cfRule>
  </conditionalFormatting>
  <conditionalFormatting sqref="F269">
    <cfRule type="cellIs" dxfId="4" priority="2374" operator="greaterThanOrEqual">
      <formula>0</formula>
    </cfRule>
  </conditionalFormatting>
  <conditionalFormatting sqref="F269">
    <cfRule type="cellIs" dxfId="5" priority="2375" operator="lessThan">
      <formula>-4100</formula>
    </cfRule>
  </conditionalFormatting>
  <conditionalFormatting sqref="F269">
    <cfRule type="cellIs" dxfId="4" priority="2376" operator="greaterThanOrEqual">
      <formula>0</formula>
    </cfRule>
  </conditionalFormatting>
  <conditionalFormatting sqref="F269">
    <cfRule type="cellIs" dxfId="5" priority="2377" operator="lessThan">
      <formula>-4100</formula>
    </cfRule>
  </conditionalFormatting>
  <conditionalFormatting sqref="F269">
    <cfRule type="cellIs" dxfId="4" priority="2378" operator="greaterThanOrEqual">
      <formula>0</formula>
    </cfRule>
  </conditionalFormatting>
  <conditionalFormatting sqref="F269">
    <cfRule type="cellIs" dxfId="5" priority="2379" operator="lessThan">
      <formula>-4100</formula>
    </cfRule>
  </conditionalFormatting>
  <conditionalFormatting sqref="F269">
    <cfRule type="cellIs" dxfId="4" priority="2380" operator="greaterThanOrEqual">
      <formula>0</formula>
    </cfRule>
  </conditionalFormatting>
  <conditionalFormatting sqref="F269">
    <cfRule type="cellIs" dxfId="5" priority="2381" operator="lessThan">
      <formula>-4100</formula>
    </cfRule>
  </conditionalFormatting>
  <conditionalFormatting sqref="E269">
    <cfRule type="cellIs" dxfId="6" priority="2382" operator="greaterThan">
      <formula>0</formula>
    </cfRule>
  </conditionalFormatting>
  <conditionalFormatting sqref="F269">
    <cfRule type="cellIs" dxfId="4" priority="2383" operator="greaterThanOrEqual">
      <formula>0</formula>
    </cfRule>
  </conditionalFormatting>
  <conditionalFormatting sqref="F269">
    <cfRule type="cellIs" dxfId="5" priority="2384" operator="lessThan">
      <formula>-4100</formula>
    </cfRule>
  </conditionalFormatting>
  <conditionalFormatting sqref="F269">
    <cfRule type="cellIs" dxfId="4" priority="2385" operator="greaterThanOrEqual">
      <formula>0</formula>
    </cfRule>
  </conditionalFormatting>
  <conditionalFormatting sqref="F269">
    <cfRule type="cellIs" dxfId="5" priority="2386" operator="lessThan">
      <formula>-4100</formula>
    </cfRule>
  </conditionalFormatting>
  <conditionalFormatting sqref="F269">
    <cfRule type="cellIs" dxfId="4" priority="2387" operator="greaterThanOrEqual">
      <formula>0</formula>
    </cfRule>
  </conditionalFormatting>
  <conditionalFormatting sqref="F269">
    <cfRule type="cellIs" dxfId="5" priority="2388" operator="lessThan">
      <formula>-4100</formula>
    </cfRule>
  </conditionalFormatting>
  <conditionalFormatting sqref="F274">
    <cfRule type="cellIs" dxfId="5" priority="2389" operator="lessThan">
      <formula>-4100</formula>
    </cfRule>
  </conditionalFormatting>
  <conditionalFormatting sqref="F274">
    <cfRule type="cellIs" dxfId="4" priority="2390" operator="greaterThanOrEqual">
      <formula>0</formula>
    </cfRule>
  </conditionalFormatting>
  <conditionalFormatting sqref="F274">
    <cfRule type="cellIs" dxfId="4" priority="2391" operator="greaterThanOrEqual">
      <formula>0</formula>
    </cfRule>
  </conditionalFormatting>
  <conditionalFormatting sqref="F274">
    <cfRule type="cellIs" dxfId="5" priority="2392" operator="lessThan">
      <formula>-4100</formula>
    </cfRule>
  </conditionalFormatting>
  <conditionalFormatting sqref="F274">
    <cfRule type="cellIs" dxfId="4" priority="2393" operator="greaterThanOrEqual">
      <formula>0</formula>
    </cfRule>
  </conditionalFormatting>
  <conditionalFormatting sqref="F274">
    <cfRule type="cellIs" dxfId="5" priority="2394" operator="lessThan">
      <formula>-4100</formula>
    </cfRule>
  </conditionalFormatting>
  <conditionalFormatting sqref="F274">
    <cfRule type="cellIs" dxfId="4" priority="2395" operator="greaterThanOrEqual">
      <formula>0</formula>
    </cfRule>
  </conditionalFormatting>
  <conditionalFormatting sqref="F274">
    <cfRule type="cellIs" dxfId="5" priority="2396" operator="lessThan">
      <formula>-4100</formula>
    </cfRule>
  </conditionalFormatting>
  <conditionalFormatting sqref="F274">
    <cfRule type="cellIs" dxfId="4" priority="2397" operator="greaterThanOrEqual">
      <formula>0</formula>
    </cfRule>
  </conditionalFormatting>
  <conditionalFormatting sqref="F274">
    <cfRule type="cellIs" dxfId="5" priority="2398" operator="lessThan">
      <formula>-4100</formula>
    </cfRule>
  </conditionalFormatting>
  <conditionalFormatting sqref="F274">
    <cfRule type="cellIs" dxfId="5" priority="2399" operator="lessThan">
      <formula>-4100</formula>
    </cfRule>
  </conditionalFormatting>
  <conditionalFormatting sqref="F274">
    <cfRule type="cellIs" dxfId="4" priority="2400" operator="greaterThanOrEqual">
      <formula>0</formula>
    </cfRule>
  </conditionalFormatting>
  <conditionalFormatting sqref="F274">
    <cfRule type="cellIs" dxfId="4" priority="2401" operator="greaterThanOrEqual">
      <formula>0</formula>
    </cfRule>
  </conditionalFormatting>
  <conditionalFormatting sqref="F274">
    <cfRule type="cellIs" dxfId="5" priority="2402" operator="lessThan">
      <formula>-4100</formula>
    </cfRule>
  </conditionalFormatting>
  <conditionalFormatting sqref="F274">
    <cfRule type="cellIs" dxfId="4" priority="2403" operator="greaterThanOrEqual">
      <formula>0</formula>
    </cfRule>
  </conditionalFormatting>
  <conditionalFormatting sqref="F274">
    <cfRule type="cellIs" dxfId="5" priority="2404" operator="lessThan">
      <formula>-4100</formula>
    </cfRule>
  </conditionalFormatting>
  <conditionalFormatting sqref="E274">
    <cfRule type="cellIs" dxfId="6" priority="2405" operator="greaterThan">
      <formula>0</formula>
    </cfRule>
  </conditionalFormatting>
  <conditionalFormatting sqref="F279">
    <cfRule type="cellIs" dxfId="5" priority="2406" operator="lessThan">
      <formula>-4100</formula>
    </cfRule>
  </conditionalFormatting>
  <conditionalFormatting sqref="F279">
    <cfRule type="cellIs" dxfId="4" priority="2407" operator="greaterThanOrEqual">
      <formula>0</formula>
    </cfRule>
  </conditionalFormatting>
  <conditionalFormatting sqref="F279">
    <cfRule type="cellIs" dxfId="4" priority="2408" operator="greaterThanOrEqual">
      <formula>0</formula>
    </cfRule>
  </conditionalFormatting>
  <conditionalFormatting sqref="F279">
    <cfRule type="cellIs" dxfId="5" priority="2409" operator="lessThan">
      <formula>-4100</formula>
    </cfRule>
  </conditionalFormatting>
  <conditionalFormatting sqref="F279">
    <cfRule type="cellIs" dxfId="4" priority="2410" operator="greaterThanOrEqual">
      <formula>0</formula>
    </cfRule>
  </conditionalFormatting>
  <conditionalFormatting sqref="F279">
    <cfRule type="cellIs" dxfId="5" priority="2411" operator="lessThan">
      <formula>-4100</formula>
    </cfRule>
  </conditionalFormatting>
  <conditionalFormatting sqref="F279">
    <cfRule type="cellIs" dxfId="4" priority="2412" operator="greaterThanOrEqual">
      <formula>0</formula>
    </cfRule>
  </conditionalFormatting>
  <conditionalFormatting sqref="F279">
    <cfRule type="cellIs" dxfId="5" priority="2413" operator="lessThan">
      <formula>-4100</formula>
    </cfRule>
  </conditionalFormatting>
  <conditionalFormatting sqref="E279">
    <cfRule type="cellIs" dxfId="6" priority="2414" operator="greaterThan">
      <formula>0</formula>
    </cfRule>
  </conditionalFormatting>
  <conditionalFormatting sqref="F326">
    <cfRule type="cellIs" dxfId="5" priority="2415" operator="lessThan">
      <formula>-4100</formula>
    </cfRule>
  </conditionalFormatting>
  <conditionalFormatting sqref="F326">
    <cfRule type="cellIs" dxfId="4" priority="2416" operator="greaterThanOrEqual">
      <formula>0</formula>
    </cfRule>
  </conditionalFormatting>
  <conditionalFormatting sqref="F326">
    <cfRule type="cellIs" dxfId="4" priority="2417" operator="greaterThanOrEqual">
      <formula>0</formula>
    </cfRule>
  </conditionalFormatting>
  <conditionalFormatting sqref="F326">
    <cfRule type="cellIs" dxfId="5" priority="2418" operator="lessThan">
      <formula>-4100</formula>
    </cfRule>
  </conditionalFormatting>
  <conditionalFormatting sqref="F326">
    <cfRule type="cellIs" dxfId="4" priority="2419" operator="greaterThanOrEqual">
      <formula>0</formula>
    </cfRule>
  </conditionalFormatting>
  <conditionalFormatting sqref="F326">
    <cfRule type="cellIs" dxfId="5" priority="2420" operator="lessThan">
      <formula>-4100</formula>
    </cfRule>
  </conditionalFormatting>
  <conditionalFormatting sqref="F326">
    <cfRule type="cellIs" dxfId="4" priority="2421" operator="greaterThanOrEqual">
      <formula>0</formula>
    </cfRule>
  </conditionalFormatting>
  <conditionalFormatting sqref="F326">
    <cfRule type="cellIs" dxfId="5" priority="2422" operator="lessThan">
      <formula>-4100</formula>
    </cfRule>
  </conditionalFormatting>
  <conditionalFormatting sqref="F326">
    <cfRule type="cellIs" dxfId="4" priority="2423" operator="greaterThanOrEqual">
      <formula>0</formula>
    </cfRule>
  </conditionalFormatting>
  <conditionalFormatting sqref="F326">
    <cfRule type="cellIs" dxfId="5" priority="2424" operator="lessThan">
      <formula>-4100</formula>
    </cfRule>
  </conditionalFormatting>
  <conditionalFormatting sqref="E326">
    <cfRule type="cellIs" dxfId="6" priority="2425" operator="greaterThan">
      <formula>0</formula>
    </cfRule>
  </conditionalFormatting>
  <conditionalFormatting sqref="F326">
    <cfRule type="cellIs" dxfId="4" priority="2426" operator="greaterThanOrEqual">
      <formula>0</formula>
    </cfRule>
  </conditionalFormatting>
  <conditionalFormatting sqref="F326">
    <cfRule type="cellIs" dxfId="5" priority="2427" operator="lessThan">
      <formula>-4100</formula>
    </cfRule>
  </conditionalFormatting>
  <conditionalFormatting sqref="F326">
    <cfRule type="cellIs" dxfId="4" priority="2428" operator="greaterThanOrEqual">
      <formula>0</formula>
    </cfRule>
  </conditionalFormatting>
  <conditionalFormatting sqref="F326">
    <cfRule type="cellIs" dxfId="5" priority="2429" operator="lessThan">
      <formula>-4100</formula>
    </cfRule>
  </conditionalFormatting>
  <conditionalFormatting sqref="F326">
    <cfRule type="cellIs" dxfId="4" priority="2430" operator="greaterThanOrEqual">
      <formula>0</formula>
    </cfRule>
  </conditionalFormatting>
  <conditionalFormatting sqref="F326">
    <cfRule type="cellIs" dxfId="5" priority="2431" operator="lessThan">
      <formula>-4100</formula>
    </cfRule>
  </conditionalFormatting>
  <conditionalFormatting sqref="F310">
    <cfRule type="cellIs" dxfId="5" priority="2432" operator="lessThan">
      <formula>-4100</formula>
    </cfRule>
  </conditionalFormatting>
  <conditionalFormatting sqref="F310">
    <cfRule type="cellIs" dxfId="4" priority="2433" operator="greaterThanOrEqual">
      <formula>0</formula>
    </cfRule>
  </conditionalFormatting>
  <conditionalFormatting sqref="F310">
    <cfRule type="cellIs" dxfId="4" priority="2434" operator="greaterThanOrEqual">
      <formula>0</formula>
    </cfRule>
  </conditionalFormatting>
  <conditionalFormatting sqref="F310">
    <cfRule type="cellIs" dxfId="5" priority="2435" operator="lessThan">
      <formula>-4100</formula>
    </cfRule>
  </conditionalFormatting>
  <conditionalFormatting sqref="F310">
    <cfRule type="cellIs" dxfId="4" priority="2436" operator="greaterThanOrEqual">
      <formula>0</formula>
    </cfRule>
  </conditionalFormatting>
  <conditionalFormatting sqref="F310">
    <cfRule type="cellIs" dxfId="5" priority="2437" operator="lessThan">
      <formula>-4100</formula>
    </cfRule>
  </conditionalFormatting>
  <conditionalFormatting sqref="F310">
    <cfRule type="cellIs" dxfId="4" priority="2438" operator="greaterThanOrEqual">
      <formula>0</formula>
    </cfRule>
  </conditionalFormatting>
  <conditionalFormatting sqref="F310">
    <cfRule type="cellIs" dxfId="5" priority="2439" operator="lessThan">
      <formula>-4100</formula>
    </cfRule>
  </conditionalFormatting>
  <conditionalFormatting sqref="F310">
    <cfRule type="cellIs" dxfId="4" priority="2440" operator="greaterThanOrEqual">
      <formula>0</formula>
    </cfRule>
  </conditionalFormatting>
  <conditionalFormatting sqref="F310">
    <cfRule type="cellIs" dxfId="5" priority="2441" operator="lessThan">
      <formula>-4100</formula>
    </cfRule>
  </conditionalFormatting>
  <conditionalFormatting sqref="F310">
    <cfRule type="cellIs" dxfId="5" priority="2442" operator="lessThan">
      <formula>-4100</formula>
    </cfRule>
  </conditionalFormatting>
  <conditionalFormatting sqref="F310">
    <cfRule type="cellIs" dxfId="4" priority="2443" operator="greaterThanOrEqual">
      <formula>0</formula>
    </cfRule>
  </conditionalFormatting>
  <conditionalFormatting sqref="F310">
    <cfRule type="cellIs" dxfId="4" priority="2444" operator="greaterThanOrEqual">
      <formula>0</formula>
    </cfRule>
  </conditionalFormatting>
  <conditionalFormatting sqref="F310">
    <cfRule type="cellIs" dxfId="5" priority="2445" operator="lessThan">
      <formula>-4100</formula>
    </cfRule>
  </conditionalFormatting>
  <conditionalFormatting sqref="F310">
    <cfRule type="cellIs" dxfId="4" priority="2446" operator="greaterThanOrEqual">
      <formula>0</formula>
    </cfRule>
  </conditionalFormatting>
  <conditionalFormatting sqref="F310">
    <cfRule type="cellIs" dxfId="5" priority="2447" operator="lessThan">
      <formula>-4100</formula>
    </cfRule>
  </conditionalFormatting>
  <conditionalFormatting sqref="E310">
    <cfRule type="cellIs" dxfId="6" priority="2448" operator="greaterThan">
      <formula>0</formula>
    </cfRule>
  </conditionalFormatting>
  <conditionalFormatting sqref="F728">
    <cfRule type="cellIs" dxfId="5" priority="2449" operator="lessThan">
      <formula>-4100</formula>
    </cfRule>
  </conditionalFormatting>
  <conditionalFormatting sqref="F728">
    <cfRule type="cellIs" dxfId="4" priority="2450" operator="greaterThanOrEqual">
      <formula>0</formula>
    </cfRule>
  </conditionalFormatting>
  <conditionalFormatting sqref="F728">
    <cfRule type="cellIs" dxfId="4" priority="2451" operator="greaterThanOrEqual">
      <formula>0</formula>
    </cfRule>
  </conditionalFormatting>
  <conditionalFormatting sqref="F728">
    <cfRule type="cellIs" dxfId="5" priority="2452" operator="lessThan">
      <formula>-4100</formula>
    </cfRule>
  </conditionalFormatting>
  <conditionalFormatting sqref="F728">
    <cfRule type="cellIs" dxfId="4" priority="2453" operator="greaterThanOrEqual">
      <formula>0</formula>
    </cfRule>
  </conditionalFormatting>
  <conditionalFormatting sqref="F728">
    <cfRule type="cellIs" dxfId="5" priority="2454" operator="lessThan">
      <formula>-4100</formula>
    </cfRule>
  </conditionalFormatting>
  <conditionalFormatting sqref="F728">
    <cfRule type="cellIs" dxfId="4" priority="2455" operator="greaterThanOrEqual">
      <formula>0</formula>
    </cfRule>
  </conditionalFormatting>
  <conditionalFormatting sqref="F728">
    <cfRule type="cellIs" dxfId="5" priority="2456" operator="lessThan">
      <formula>-4100</formula>
    </cfRule>
  </conditionalFormatting>
  <conditionalFormatting sqref="E728">
    <cfRule type="cellIs" dxfId="6" priority="2457" operator="greaterThan">
      <formula>0</formula>
    </cfRule>
  </conditionalFormatting>
  <conditionalFormatting sqref="F358">
    <cfRule type="cellIs" dxfId="5" priority="2458" operator="lessThan">
      <formula>-4100</formula>
    </cfRule>
  </conditionalFormatting>
  <conditionalFormatting sqref="F358">
    <cfRule type="cellIs" dxfId="4" priority="2459" operator="greaterThanOrEqual">
      <formula>0</formula>
    </cfRule>
  </conditionalFormatting>
  <conditionalFormatting sqref="F358">
    <cfRule type="cellIs" dxfId="4" priority="2460" operator="greaterThanOrEqual">
      <formula>0</formula>
    </cfRule>
  </conditionalFormatting>
  <conditionalFormatting sqref="F358">
    <cfRule type="cellIs" dxfId="5" priority="2461" operator="lessThan">
      <formula>-4100</formula>
    </cfRule>
  </conditionalFormatting>
  <conditionalFormatting sqref="F358">
    <cfRule type="cellIs" dxfId="4" priority="2462" operator="greaterThanOrEqual">
      <formula>0</formula>
    </cfRule>
  </conditionalFormatting>
  <conditionalFormatting sqref="F358">
    <cfRule type="cellIs" dxfId="5" priority="2463" operator="lessThan">
      <formula>-4100</formula>
    </cfRule>
  </conditionalFormatting>
  <conditionalFormatting sqref="F358">
    <cfRule type="cellIs" dxfId="4" priority="2464" operator="greaterThanOrEqual">
      <formula>0</formula>
    </cfRule>
  </conditionalFormatting>
  <conditionalFormatting sqref="F358">
    <cfRule type="cellIs" dxfId="5" priority="2465" operator="lessThan">
      <formula>-4100</formula>
    </cfRule>
  </conditionalFormatting>
  <conditionalFormatting sqref="E358">
    <cfRule type="cellIs" dxfId="6" priority="2466" operator="greaterThan">
      <formula>0</formula>
    </cfRule>
  </conditionalFormatting>
  <conditionalFormatting sqref="F305">
    <cfRule type="cellIs" dxfId="5" priority="2467" operator="lessThan">
      <formula>-4100</formula>
    </cfRule>
  </conditionalFormatting>
  <conditionalFormatting sqref="F305">
    <cfRule type="cellIs" dxfId="4" priority="2468" operator="greaterThanOrEqual">
      <formula>0</formula>
    </cfRule>
  </conditionalFormatting>
  <conditionalFormatting sqref="F305">
    <cfRule type="cellIs" dxfId="4" priority="2469" operator="greaterThanOrEqual">
      <formula>0</formula>
    </cfRule>
  </conditionalFormatting>
  <conditionalFormatting sqref="F305">
    <cfRule type="cellIs" dxfId="5" priority="2470" operator="lessThan">
      <formula>-4100</formula>
    </cfRule>
  </conditionalFormatting>
  <conditionalFormatting sqref="F305">
    <cfRule type="cellIs" dxfId="4" priority="2471" operator="greaterThanOrEqual">
      <formula>0</formula>
    </cfRule>
  </conditionalFormatting>
  <conditionalFormatting sqref="F305">
    <cfRule type="cellIs" dxfId="5" priority="2472" operator="lessThan">
      <formula>-4100</formula>
    </cfRule>
  </conditionalFormatting>
  <conditionalFormatting sqref="F305">
    <cfRule type="cellIs" dxfId="4" priority="2473" operator="greaterThanOrEqual">
      <formula>0</formula>
    </cfRule>
  </conditionalFormatting>
  <conditionalFormatting sqref="F305">
    <cfRule type="cellIs" dxfId="5" priority="2474" operator="lessThan">
      <formula>-4100</formula>
    </cfRule>
  </conditionalFormatting>
  <conditionalFormatting sqref="F305">
    <cfRule type="cellIs" dxfId="4" priority="2475" operator="greaterThanOrEqual">
      <formula>0</formula>
    </cfRule>
  </conditionalFormatting>
  <conditionalFormatting sqref="F305">
    <cfRule type="cellIs" dxfId="5" priority="2476" operator="lessThan">
      <formula>-4100</formula>
    </cfRule>
  </conditionalFormatting>
  <conditionalFormatting sqref="F305">
    <cfRule type="cellIs" dxfId="5" priority="2477" operator="lessThan">
      <formula>-4100</formula>
    </cfRule>
  </conditionalFormatting>
  <conditionalFormatting sqref="F305">
    <cfRule type="cellIs" dxfId="4" priority="2478" operator="greaterThanOrEqual">
      <formula>0</formula>
    </cfRule>
  </conditionalFormatting>
  <conditionalFormatting sqref="F305">
    <cfRule type="cellIs" dxfId="4" priority="2479" operator="greaterThanOrEqual">
      <formula>0</formula>
    </cfRule>
  </conditionalFormatting>
  <conditionalFormatting sqref="F305">
    <cfRule type="cellIs" dxfId="5" priority="2480" operator="lessThan">
      <formula>-4100</formula>
    </cfRule>
  </conditionalFormatting>
  <conditionalFormatting sqref="F305">
    <cfRule type="cellIs" dxfId="4" priority="2481" operator="greaterThanOrEqual">
      <formula>0</formula>
    </cfRule>
  </conditionalFormatting>
  <conditionalFormatting sqref="F305">
    <cfRule type="cellIs" dxfId="5" priority="2482" operator="lessThan">
      <formula>-4100</formula>
    </cfRule>
  </conditionalFormatting>
  <conditionalFormatting sqref="E305">
    <cfRule type="cellIs" dxfId="6" priority="2483" operator="greaterThan">
      <formula>0</formula>
    </cfRule>
  </conditionalFormatting>
  <conditionalFormatting sqref="F316">
    <cfRule type="cellIs" dxfId="5" priority="2484" operator="lessThan">
      <formula>-4100</formula>
    </cfRule>
  </conditionalFormatting>
  <conditionalFormatting sqref="F316">
    <cfRule type="cellIs" dxfId="4" priority="2485" operator="greaterThanOrEqual">
      <formula>0</formula>
    </cfRule>
  </conditionalFormatting>
  <conditionalFormatting sqref="F316">
    <cfRule type="cellIs" dxfId="4" priority="2486" operator="greaterThanOrEqual">
      <formula>0</formula>
    </cfRule>
  </conditionalFormatting>
  <conditionalFormatting sqref="F316">
    <cfRule type="cellIs" dxfId="5" priority="2487" operator="lessThan">
      <formula>-4100</formula>
    </cfRule>
  </conditionalFormatting>
  <conditionalFormatting sqref="F316">
    <cfRule type="cellIs" dxfId="4" priority="2488" operator="greaterThanOrEqual">
      <formula>0</formula>
    </cfRule>
  </conditionalFormatting>
  <conditionalFormatting sqref="F316">
    <cfRule type="cellIs" dxfId="5" priority="2489" operator="lessThan">
      <formula>-4100</formula>
    </cfRule>
  </conditionalFormatting>
  <conditionalFormatting sqref="F316">
    <cfRule type="cellIs" dxfId="4" priority="2490" operator="greaterThanOrEqual">
      <formula>0</formula>
    </cfRule>
  </conditionalFormatting>
  <conditionalFormatting sqref="F316">
    <cfRule type="cellIs" dxfId="5" priority="2491" operator="lessThan">
      <formula>-4100</formula>
    </cfRule>
  </conditionalFormatting>
  <conditionalFormatting sqref="F316">
    <cfRule type="cellIs" dxfId="4" priority="2492" operator="greaterThanOrEqual">
      <formula>0</formula>
    </cfRule>
  </conditionalFormatting>
  <conditionalFormatting sqref="F316">
    <cfRule type="cellIs" dxfId="5" priority="2493" operator="lessThan">
      <formula>-4100</formula>
    </cfRule>
  </conditionalFormatting>
  <conditionalFormatting sqref="F316">
    <cfRule type="cellIs" dxfId="5" priority="2494" operator="lessThan">
      <formula>-4100</formula>
    </cfRule>
  </conditionalFormatting>
  <conditionalFormatting sqref="F316">
    <cfRule type="cellIs" dxfId="4" priority="2495" operator="greaterThanOrEqual">
      <formula>0</formula>
    </cfRule>
  </conditionalFormatting>
  <conditionalFormatting sqref="F316">
    <cfRule type="cellIs" dxfId="4" priority="2496" operator="greaterThanOrEqual">
      <formula>0</formula>
    </cfRule>
  </conditionalFormatting>
  <conditionalFormatting sqref="F316">
    <cfRule type="cellIs" dxfId="5" priority="2497" operator="lessThan">
      <formula>-4100</formula>
    </cfRule>
  </conditionalFormatting>
  <conditionalFormatting sqref="F316">
    <cfRule type="cellIs" dxfId="4" priority="2498" operator="greaterThanOrEqual">
      <formula>0</formula>
    </cfRule>
  </conditionalFormatting>
  <conditionalFormatting sqref="F316">
    <cfRule type="cellIs" dxfId="5" priority="2499" operator="lessThan">
      <formula>-4100</formula>
    </cfRule>
  </conditionalFormatting>
  <conditionalFormatting sqref="E316">
    <cfRule type="cellIs" dxfId="6" priority="2500" operator="greaterThan">
      <formula>0</formula>
    </cfRule>
  </conditionalFormatting>
  <conditionalFormatting sqref="F793">
    <cfRule type="cellIs" dxfId="4" priority="2501" operator="greaterThanOrEqual">
      <formula>0</formula>
    </cfRule>
  </conditionalFormatting>
  <conditionalFormatting sqref="F793">
    <cfRule type="cellIs" dxfId="5" priority="2502" operator="lessThan">
      <formula>-4100</formula>
    </cfRule>
  </conditionalFormatting>
  <conditionalFormatting sqref="F793">
    <cfRule type="cellIs" dxfId="4" priority="2503" operator="greaterThanOrEqual">
      <formula>0</formula>
    </cfRule>
  </conditionalFormatting>
  <conditionalFormatting sqref="F793">
    <cfRule type="cellIs" dxfId="5" priority="2504" operator="lessThan">
      <formula>-4100</formula>
    </cfRule>
  </conditionalFormatting>
  <conditionalFormatting sqref="F793">
    <cfRule type="cellIs" dxfId="4" priority="2505" operator="greaterThanOrEqual">
      <formula>0</formula>
    </cfRule>
  </conditionalFormatting>
  <conditionalFormatting sqref="F793">
    <cfRule type="cellIs" dxfId="5" priority="2506" operator="lessThan">
      <formula>-4100</formula>
    </cfRule>
  </conditionalFormatting>
  <conditionalFormatting sqref="F793">
    <cfRule type="cellIs" dxfId="4" priority="2507" operator="greaterThanOrEqual">
      <formula>0</formula>
    </cfRule>
  </conditionalFormatting>
  <conditionalFormatting sqref="F793">
    <cfRule type="cellIs" dxfId="5" priority="2508" operator="lessThan">
      <formula>-4100</formula>
    </cfRule>
  </conditionalFormatting>
  <conditionalFormatting sqref="F793">
    <cfRule type="cellIs" dxfId="4" priority="2509" operator="greaterThanOrEqual">
      <formula>0</formula>
    </cfRule>
  </conditionalFormatting>
  <conditionalFormatting sqref="F793">
    <cfRule type="cellIs" dxfId="5" priority="2510" operator="lessThan">
      <formula>-4100</formula>
    </cfRule>
  </conditionalFormatting>
  <conditionalFormatting sqref="F793">
    <cfRule type="cellIs" dxfId="4" priority="2511" operator="greaterThanOrEqual">
      <formula>0</formula>
    </cfRule>
  </conditionalFormatting>
  <conditionalFormatting sqref="F793">
    <cfRule type="cellIs" dxfId="5" priority="2512" operator="lessThan">
      <formula>-4100</formula>
    </cfRule>
  </conditionalFormatting>
  <conditionalFormatting sqref="F793">
    <cfRule type="cellIs" dxfId="4" priority="2513" operator="greaterThanOrEqual">
      <formula>0</formula>
    </cfRule>
  </conditionalFormatting>
  <conditionalFormatting sqref="F793">
    <cfRule type="cellIs" dxfId="5" priority="2514" operator="lessThan">
      <formula>-4100</formula>
    </cfRule>
  </conditionalFormatting>
  <conditionalFormatting sqref="F793">
    <cfRule type="cellIs" dxfId="4" priority="2515" operator="greaterThanOrEqual">
      <formula>0</formula>
    </cfRule>
  </conditionalFormatting>
  <conditionalFormatting sqref="F793">
    <cfRule type="cellIs" dxfId="5" priority="2516" operator="lessThan">
      <formula>-4100</formula>
    </cfRule>
  </conditionalFormatting>
  <conditionalFormatting sqref="E793">
    <cfRule type="cellIs" dxfId="6" priority="2517" operator="greaterThan">
      <formula>0</formula>
    </cfRule>
  </conditionalFormatting>
  <conditionalFormatting sqref="F353">
    <cfRule type="cellIs" dxfId="5" priority="2518" operator="lessThan">
      <formula>-4100</formula>
    </cfRule>
  </conditionalFormatting>
  <conditionalFormatting sqref="F353">
    <cfRule type="cellIs" dxfId="4" priority="2519" operator="greaterThanOrEqual">
      <formula>0</formula>
    </cfRule>
  </conditionalFormatting>
  <conditionalFormatting sqref="F353">
    <cfRule type="cellIs" dxfId="4" priority="2520" operator="greaterThanOrEqual">
      <formula>0</formula>
    </cfRule>
  </conditionalFormatting>
  <conditionalFormatting sqref="F353">
    <cfRule type="cellIs" dxfId="5" priority="2521" operator="lessThan">
      <formula>-4100</formula>
    </cfRule>
  </conditionalFormatting>
  <conditionalFormatting sqref="F353">
    <cfRule type="cellIs" dxfId="4" priority="2522" operator="greaterThanOrEqual">
      <formula>0</formula>
    </cfRule>
  </conditionalFormatting>
  <conditionalFormatting sqref="F353">
    <cfRule type="cellIs" dxfId="5" priority="2523" operator="lessThan">
      <formula>-4100</formula>
    </cfRule>
  </conditionalFormatting>
  <conditionalFormatting sqref="F353">
    <cfRule type="cellIs" dxfId="4" priority="2524" operator="greaterThanOrEqual">
      <formula>0</formula>
    </cfRule>
  </conditionalFormatting>
  <conditionalFormatting sqref="F353">
    <cfRule type="cellIs" dxfId="5" priority="2525" operator="lessThan">
      <formula>-4100</formula>
    </cfRule>
  </conditionalFormatting>
  <conditionalFormatting sqref="F353">
    <cfRule type="cellIs" dxfId="4" priority="2526" operator="greaterThanOrEqual">
      <formula>0</formula>
    </cfRule>
  </conditionalFormatting>
  <conditionalFormatting sqref="F353">
    <cfRule type="cellIs" dxfId="5" priority="2527" operator="lessThan">
      <formula>-4100</formula>
    </cfRule>
  </conditionalFormatting>
  <conditionalFormatting sqref="F353">
    <cfRule type="cellIs" dxfId="5" priority="2528" operator="lessThan">
      <formula>-4100</formula>
    </cfRule>
  </conditionalFormatting>
  <conditionalFormatting sqref="F353">
    <cfRule type="cellIs" dxfId="4" priority="2529" operator="greaterThanOrEqual">
      <formula>0</formula>
    </cfRule>
  </conditionalFormatting>
  <conditionalFormatting sqref="F353">
    <cfRule type="cellIs" dxfId="4" priority="2530" operator="greaterThanOrEqual">
      <formula>0</formula>
    </cfRule>
  </conditionalFormatting>
  <conditionalFormatting sqref="F353">
    <cfRule type="cellIs" dxfId="5" priority="2531" operator="lessThan">
      <formula>-4100</formula>
    </cfRule>
  </conditionalFormatting>
  <conditionalFormatting sqref="F353">
    <cfRule type="cellIs" dxfId="4" priority="2532" operator="greaterThanOrEqual">
      <formula>0</formula>
    </cfRule>
  </conditionalFormatting>
  <conditionalFormatting sqref="F353">
    <cfRule type="cellIs" dxfId="5" priority="2533" operator="lessThan">
      <formula>-4100</formula>
    </cfRule>
  </conditionalFormatting>
  <conditionalFormatting sqref="E353">
    <cfRule type="cellIs" dxfId="6" priority="2534" operator="greaterThan">
      <formula>0</formula>
    </cfRule>
  </conditionalFormatting>
  <conditionalFormatting sqref="F347">
    <cfRule type="cellIs" dxfId="5" priority="2535" operator="lessThan">
      <formula>-4100</formula>
    </cfRule>
  </conditionalFormatting>
  <conditionalFormatting sqref="F347">
    <cfRule type="cellIs" dxfId="4" priority="2536" operator="greaterThanOrEqual">
      <formula>0</formula>
    </cfRule>
  </conditionalFormatting>
  <conditionalFormatting sqref="F347">
    <cfRule type="cellIs" dxfId="4" priority="2537" operator="greaterThanOrEqual">
      <formula>0</formula>
    </cfRule>
  </conditionalFormatting>
  <conditionalFormatting sqref="F347">
    <cfRule type="cellIs" dxfId="5" priority="2538" operator="lessThan">
      <formula>-4100</formula>
    </cfRule>
  </conditionalFormatting>
  <conditionalFormatting sqref="F347">
    <cfRule type="cellIs" dxfId="4" priority="2539" operator="greaterThanOrEqual">
      <formula>0</formula>
    </cfRule>
  </conditionalFormatting>
  <conditionalFormatting sqref="F347">
    <cfRule type="cellIs" dxfId="5" priority="2540" operator="lessThan">
      <formula>-4100</formula>
    </cfRule>
  </conditionalFormatting>
  <conditionalFormatting sqref="F347">
    <cfRule type="cellIs" dxfId="4" priority="2541" operator="greaterThanOrEqual">
      <formula>0</formula>
    </cfRule>
  </conditionalFormatting>
  <conditionalFormatting sqref="F347">
    <cfRule type="cellIs" dxfId="5" priority="2542" operator="lessThan">
      <formula>-4100</formula>
    </cfRule>
  </conditionalFormatting>
  <conditionalFormatting sqref="F347">
    <cfRule type="cellIs" dxfId="4" priority="2543" operator="greaterThanOrEqual">
      <formula>0</formula>
    </cfRule>
  </conditionalFormatting>
  <conditionalFormatting sqref="F347">
    <cfRule type="cellIs" dxfId="5" priority="2544" operator="lessThan">
      <formula>-4100</formula>
    </cfRule>
  </conditionalFormatting>
  <conditionalFormatting sqref="F347">
    <cfRule type="cellIs" dxfId="5" priority="2545" operator="lessThan">
      <formula>-4100</formula>
    </cfRule>
  </conditionalFormatting>
  <conditionalFormatting sqref="F347">
    <cfRule type="cellIs" dxfId="4" priority="2546" operator="greaterThanOrEqual">
      <formula>0</formula>
    </cfRule>
  </conditionalFormatting>
  <conditionalFormatting sqref="F347">
    <cfRule type="cellIs" dxfId="4" priority="2547" operator="greaterThanOrEqual">
      <formula>0</formula>
    </cfRule>
  </conditionalFormatting>
  <conditionalFormatting sqref="F347">
    <cfRule type="cellIs" dxfId="5" priority="2548" operator="lessThan">
      <formula>-4100</formula>
    </cfRule>
  </conditionalFormatting>
  <conditionalFormatting sqref="F347">
    <cfRule type="cellIs" dxfId="4" priority="2549" operator="greaterThanOrEqual">
      <formula>0</formula>
    </cfRule>
  </conditionalFormatting>
  <conditionalFormatting sqref="F347">
    <cfRule type="cellIs" dxfId="5" priority="2550" operator="lessThan">
      <formula>-4100</formula>
    </cfRule>
  </conditionalFormatting>
  <conditionalFormatting sqref="E347">
    <cfRule type="cellIs" dxfId="6" priority="2551" operator="greaterThan">
      <formula>0</formula>
    </cfRule>
  </conditionalFormatting>
  <conditionalFormatting sqref="F457">
    <cfRule type="cellIs" dxfId="5" priority="2552" operator="lessThan">
      <formula>-4100</formula>
    </cfRule>
  </conditionalFormatting>
  <conditionalFormatting sqref="F457">
    <cfRule type="cellIs" dxfId="4" priority="2553" operator="greaterThanOrEqual">
      <formula>0</formula>
    </cfRule>
  </conditionalFormatting>
  <conditionalFormatting sqref="F457">
    <cfRule type="cellIs" dxfId="4" priority="2554" operator="greaterThanOrEqual">
      <formula>0</formula>
    </cfRule>
  </conditionalFormatting>
  <conditionalFormatting sqref="F457">
    <cfRule type="cellIs" dxfId="5" priority="2555" operator="lessThan">
      <formula>-4100</formula>
    </cfRule>
  </conditionalFormatting>
  <conditionalFormatting sqref="F457">
    <cfRule type="cellIs" dxfId="4" priority="2556" operator="greaterThanOrEqual">
      <formula>0</formula>
    </cfRule>
  </conditionalFormatting>
  <conditionalFormatting sqref="F457">
    <cfRule type="cellIs" dxfId="5" priority="2557" operator="lessThan">
      <formula>-4100</formula>
    </cfRule>
  </conditionalFormatting>
  <conditionalFormatting sqref="F457">
    <cfRule type="cellIs" dxfId="4" priority="2558" operator="greaterThanOrEqual">
      <formula>0</formula>
    </cfRule>
  </conditionalFormatting>
  <conditionalFormatting sqref="F457">
    <cfRule type="cellIs" dxfId="5" priority="2559" operator="lessThan">
      <formula>-4100</formula>
    </cfRule>
  </conditionalFormatting>
  <conditionalFormatting sqref="F457">
    <cfRule type="cellIs" dxfId="4" priority="2560" operator="greaterThanOrEqual">
      <formula>0</formula>
    </cfRule>
  </conditionalFormatting>
  <conditionalFormatting sqref="F457">
    <cfRule type="cellIs" dxfId="5" priority="2561" operator="lessThan">
      <formula>-4100</formula>
    </cfRule>
  </conditionalFormatting>
  <conditionalFormatting sqref="F457">
    <cfRule type="cellIs" dxfId="5" priority="2562" operator="lessThan">
      <formula>-4100</formula>
    </cfRule>
  </conditionalFormatting>
  <conditionalFormatting sqref="F457">
    <cfRule type="cellIs" dxfId="4" priority="2563" operator="greaterThanOrEqual">
      <formula>0</formula>
    </cfRule>
  </conditionalFormatting>
  <conditionalFormatting sqref="F457">
    <cfRule type="cellIs" dxfId="4" priority="2564" operator="greaterThanOrEqual">
      <formula>0</formula>
    </cfRule>
  </conditionalFormatting>
  <conditionalFormatting sqref="F457">
    <cfRule type="cellIs" dxfId="5" priority="2565" operator="lessThan">
      <formula>-4100</formula>
    </cfRule>
  </conditionalFormatting>
  <conditionalFormatting sqref="F457">
    <cfRule type="cellIs" dxfId="4" priority="2566" operator="greaterThanOrEqual">
      <formula>0</formula>
    </cfRule>
  </conditionalFormatting>
  <conditionalFormatting sqref="F457">
    <cfRule type="cellIs" dxfId="5" priority="2567" operator="lessThan">
      <formula>-4100</formula>
    </cfRule>
  </conditionalFormatting>
  <conditionalFormatting sqref="E457">
    <cfRule type="cellIs" dxfId="6" priority="2568" operator="greaterThan">
      <formula>0</formula>
    </cfRule>
  </conditionalFormatting>
  <conditionalFormatting sqref="F462">
    <cfRule type="cellIs" dxfId="5" priority="2569" operator="lessThan">
      <formula>-4100</formula>
    </cfRule>
  </conditionalFormatting>
  <conditionalFormatting sqref="F462">
    <cfRule type="cellIs" dxfId="4" priority="2570" operator="greaterThanOrEqual">
      <formula>0</formula>
    </cfRule>
  </conditionalFormatting>
  <conditionalFormatting sqref="F462">
    <cfRule type="cellIs" dxfId="4" priority="2571" operator="greaterThanOrEqual">
      <formula>0</formula>
    </cfRule>
  </conditionalFormatting>
  <conditionalFormatting sqref="F462">
    <cfRule type="cellIs" dxfId="5" priority="2572" operator="lessThan">
      <formula>-4100</formula>
    </cfRule>
  </conditionalFormatting>
  <conditionalFormatting sqref="F462">
    <cfRule type="cellIs" dxfId="4" priority="2573" operator="greaterThanOrEqual">
      <formula>0</formula>
    </cfRule>
  </conditionalFormatting>
  <conditionalFormatting sqref="F462">
    <cfRule type="cellIs" dxfId="5" priority="2574" operator="lessThan">
      <formula>-4100</formula>
    </cfRule>
  </conditionalFormatting>
  <conditionalFormatting sqref="F462">
    <cfRule type="cellIs" dxfId="4" priority="2575" operator="greaterThanOrEqual">
      <formula>0</formula>
    </cfRule>
  </conditionalFormatting>
  <conditionalFormatting sqref="F462">
    <cfRule type="cellIs" dxfId="5" priority="2576" operator="lessThan">
      <formula>-4100</formula>
    </cfRule>
  </conditionalFormatting>
  <conditionalFormatting sqref="F462">
    <cfRule type="cellIs" dxfId="4" priority="2577" operator="greaterThanOrEqual">
      <formula>0</formula>
    </cfRule>
  </conditionalFormatting>
  <conditionalFormatting sqref="F462">
    <cfRule type="cellIs" dxfId="5" priority="2578" operator="lessThan">
      <formula>-4100</formula>
    </cfRule>
  </conditionalFormatting>
  <conditionalFormatting sqref="F462">
    <cfRule type="cellIs" dxfId="5" priority="2579" operator="lessThan">
      <formula>-4100</formula>
    </cfRule>
  </conditionalFormatting>
  <conditionalFormatting sqref="F462">
    <cfRule type="cellIs" dxfId="4" priority="2580" operator="greaterThanOrEqual">
      <formula>0</formula>
    </cfRule>
  </conditionalFormatting>
  <conditionalFormatting sqref="F462">
    <cfRule type="cellIs" dxfId="4" priority="2581" operator="greaterThanOrEqual">
      <formula>0</formula>
    </cfRule>
  </conditionalFormatting>
  <conditionalFormatting sqref="F462">
    <cfRule type="cellIs" dxfId="5" priority="2582" operator="lessThan">
      <formula>-4100</formula>
    </cfRule>
  </conditionalFormatting>
  <conditionalFormatting sqref="F462">
    <cfRule type="cellIs" dxfId="4" priority="2583" operator="greaterThanOrEqual">
      <formula>0</formula>
    </cfRule>
  </conditionalFormatting>
  <conditionalFormatting sqref="F462">
    <cfRule type="cellIs" dxfId="5" priority="2584" operator="lessThan">
      <formula>-4100</formula>
    </cfRule>
  </conditionalFormatting>
  <conditionalFormatting sqref="E462">
    <cfRule type="cellIs" dxfId="6" priority="2585" operator="greaterThan">
      <formula>0</formula>
    </cfRule>
  </conditionalFormatting>
  <conditionalFormatting sqref="F658">
    <cfRule type="cellIs" dxfId="5" priority="2586" operator="lessThan">
      <formula>-4100</formula>
    </cfRule>
  </conditionalFormatting>
  <conditionalFormatting sqref="F658">
    <cfRule type="cellIs" dxfId="4" priority="2587" operator="greaterThanOrEqual">
      <formula>0</formula>
    </cfRule>
  </conditionalFormatting>
  <conditionalFormatting sqref="F658">
    <cfRule type="cellIs" dxfId="4" priority="2588" operator="greaterThanOrEqual">
      <formula>0</formula>
    </cfRule>
  </conditionalFormatting>
  <conditionalFormatting sqref="F658">
    <cfRule type="cellIs" dxfId="5" priority="2589" operator="lessThan">
      <formula>-4100</formula>
    </cfRule>
  </conditionalFormatting>
  <conditionalFormatting sqref="F658">
    <cfRule type="cellIs" dxfId="4" priority="2590" operator="greaterThanOrEqual">
      <formula>0</formula>
    </cfRule>
  </conditionalFormatting>
  <conditionalFormatting sqref="F658">
    <cfRule type="cellIs" dxfId="5" priority="2591" operator="lessThan">
      <formula>-4100</formula>
    </cfRule>
  </conditionalFormatting>
  <conditionalFormatting sqref="F658">
    <cfRule type="cellIs" dxfId="4" priority="2592" operator="greaterThanOrEqual">
      <formula>0</formula>
    </cfRule>
  </conditionalFormatting>
  <conditionalFormatting sqref="F658">
    <cfRule type="cellIs" dxfId="5" priority="2593" operator="lessThan">
      <formula>-4100</formula>
    </cfRule>
  </conditionalFormatting>
  <conditionalFormatting sqref="F658">
    <cfRule type="cellIs" dxfId="4" priority="2594" operator="greaterThanOrEqual">
      <formula>0</formula>
    </cfRule>
  </conditionalFormatting>
  <conditionalFormatting sqref="F658">
    <cfRule type="cellIs" dxfId="5" priority="2595" operator="lessThan">
      <formula>-4100</formula>
    </cfRule>
  </conditionalFormatting>
  <conditionalFormatting sqref="E658">
    <cfRule type="cellIs" dxfId="6" priority="2596" operator="greaterThan">
      <formula>0</formula>
    </cfRule>
  </conditionalFormatting>
  <conditionalFormatting sqref="F658">
    <cfRule type="cellIs" dxfId="4" priority="2597" operator="greaterThanOrEqual">
      <formula>0</formula>
    </cfRule>
  </conditionalFormatting>
  <conditionalFormatting sqref="F658">
    <cfRule type="cellIs" dxfId="5" priority="2598" operator="lessThan">
      <formula>-4100</formula>
    </cfRule>
  </conditionalFormatting>
  <conditionalFormatting sqref="F658">
    <cfRule type="cellIs" dxfId="4" priority="2599" operator="greaterThanOrEqual">
      <formula>0</formula>
    </cfRule>
  </conditionalFormatting>
  <conditionalFormatting sqref="F658">
    <cfRule type="cellIs" dxfId="5" priority="2600" operator="lessThan">
      <formula>-4100</formula>
    </cfRule>
  </conditionalFormatting>
  <conditionalFormatting sqref="F658">
    <cfRule type="cellIs" dxfId="4" priority="2601" operator="greaterThanOrEqual">
      <formula>0</formula>
    </cfRule>
  </conditionalFormatting>
  <conditionalFormatting sqref="F658">
    <cfRule type="cellIs" dxfId="5" priority="2602" operator="lessThan">
      <formula>-4100</formula>
    </cfRule>
  </conditionalFormatting>
  <conditionalFormatting sqref="F363">
    <cfRule type="cellIs" dxfId="5" priority="2603" operator="lessThan">
      <formula>-4100</formula>
    </cfRule>
  </conditionalFormatting>
  <conditionalFormatting sqref="F363">
    <cfRule type="cellIs" dxfId="4" priority="2604" operator="greaterThanOrEqual">
      <formula>0</formula>
    </cfRule>
  </conditionalFormatting>
  <conditionalFormatting sqref="F363">
    <cfRule type="cellIs" dxfId="4" priority="2605" operator="greaterThanOrEqual">
      <formula>0</formula>
    </cfRule>
  </conditionalFormatting>
  <conditionalFormatting sqref="F363">
    <cfRule type="cellIs" dxfId="5" priority="2606" operator="lessThan">
      <formula>-4100</formula>
    </cfRule>
  </conditionalFormatting>
  <conditionalFormatting sqref="F363">
    <cfRule type="cellIs" dxfId="4" priority="2607" operator="greaterThanOrEqual">
      <formula>0</formula>
    </cfRule>
  </conditionalFormatting>
  <conditionalFormatting sqref="F363">
    <cfRule type="cellIs" dxfId="5" priority="2608" operator="lessThan">
      <formula>-4100</formula>
    </cfRule>
  </conditionalFormatting>
  <conditionalFormatting sqref="F363">
    <cfRule type="cellIs" dxfId="4" priority="2609" operator="greaterThanOrEqual">
      <formula>0</formula>
    </cfRule>
  </conditionalFormatting>
  <conditionalFormatting sqref="F363">
    <cfRule type="cellIs" dxfId="5" priority="2610" operator="lessThan">
      <formula>-4100</formula>
    </cfRule>
  </conditionalFormatting>
  <conditionalFormatting sqref="F363">
    <cfRule type="cellIs" dxfId="4" priority="2611" operator="greaterThanOrEqual">
      <formula>0</formula>
    </cfRule>
  </conditionalFormatting>
  <conditionalFormatting sqref="F363">
    <cfRule type="cellIs" dxfId="5" priority="2612" operator="lessThan">
      <formula>-4100</formula>
    </cfRule>
  </conditionalFormatting>
  <conditionalFormatting sqref="F363">
    <cfRule type="cellIs" dxfId="5" priority="2613" operator="lessThan">
      <formula>-4100</formula>
    </cfRule>
  </conditionalFormatting>
  <conditionalFormatting sqref="F363">
    <cfRule type="cellIs" dxfId="4" priority="2614" operator="greaterThanOrEqual">
      <formula>0</formula>
    </cfRule>
  </conditionalFormatting>
  <conditionalFormatting sqref="F363">
    <cfRule type="cellIs" dxfId="4" priority="2615" operator="greaterThanOrEqual">
      <formula>0</formula>
    </cfRule>
  </conditionalFormatting>
  <conditionalFormatting sqref="F363">
    <cfRule type="cellIs" dxfId="5" priority="2616" operator="lessThan">
      <formula>-4100</formula>
    </cfRule>
  </conditionalFormatting>
  <conditionalFormatting sqref="F363">
    <cfRule type="cellIs" dxfId="4" priority="2617" operator="greaterThanOrEqual">
      <formula>0</formula>
    </cfRule>
  </conditionalFormatting>
  <conditionalFormatting sqref="F363">
    <cfRule type="cellIs" dxfId="5" priority="2618" operator="lessThan">
      <formula>-4100</formula>
    </cfRule>
  </conditionalFormatting>
  <conditionalFormatting sqref="E363">
    <cfRule type="cellIs" dxfId="6" priority="2619" operator="greaterThan">
      <formula>0</formula>
    </cfRule>
  </conditionalFormatting>
  <conditionalFormatting sqref="F788">
    <cfRule type="cellIs" dxfId="4" priority="2620" operator="greaterThanOrEqual">
      <formula>0</formula>
    </cfRule>
  </conditionalFormatting>
  <conditionalFormatting sqref="F788">
    <cfRule type="cellIs" dxfId="5" priority="2621" operator="lessThan">
      <formula>-4100</formula>
    </cfRule>
  </conditionalFormatting>
  <conditionalFormatting sqref="F788">
    <cfRule type="cellIs" dxfId="4" priority="2622" operator="greaterThanOrEqual">
      <formula>0</formula>
    </cfRule>
  </conditionalFormatting>
  <conditionalFormatting sqref="F788">
    <cfRule type="cellIs" dxfId="5" priority="2623" operator="lessThan">
      <formula>-4100</formula>
    </cfRule>
  </conditionalFormatting>
  <conditionalFormatting sqref="F788">
    <cfRule type="cellIs" dxfId="4" priority="2624" operator="greaterThanOrEqual">
      <formula>0</formula>
    </cfRule>
  </conditionalFormatting>
  <conditionalFormatting sqref="F788">
    <cfRule type="cellIs" dxfId="5" priority="2625" operator="lessThan">
      <formula>-4100</formula>
    </cfRule>
  </conditionalFormatting>
  <conditionalFormatting sqref="F788">
    <cfRule type="cellIs" dxfId="4" priority="2626" operator="greaterThanOrEqual">
      <formula>0</formula>
    </cfRule>
  </conditionalFormatting>
  <conditionalFormatting sqref="F788">
    <cfRule type="cellIs" dxfId="5" priority="2627" operator="lessThan">
      <formula>-4100</formula>
    </cfRule>
  </conditionalFormatting>
  <conditionalFormatting sqref="F788">
    <cfRule type="cellIs" dxfId="4" priority="2628" operator="greaterThanOrEqual">
      <formula>0</formula>
    </cfRule>
  </conditionalFormatting>
  <conditionalFormatting sqref="F788">
    <cfRule type="cellIs" dxfId="5" priority="2629" operator="lessThan">
      <formula>-4100</formula>
    </cfRule>
  </conditionalFormatting>
  <conditionalFormatting sqref="F788">
    <cfRule type="cellIs" dxfId="4" priority="2630" operator="greaterThanOrEqual">
      <formula>0</formula>
    </cfRule>
  </conditionalFormatting>
  <conditionalFormatting sqref="F788">
    <cfRule type="cellIs" dxfId="5" priority="2631" operator="lessThan">
      <formula>-4100</formula>
    </cfRule>
  </conditionalFormatting>
  <conditionalFormatting sqref="F788">
    <cfRule type="cellIs" dxfId="4" priority="2632" operator="greaterThanOrEqual">
      <formula>0</formula>
    </cfRule>
  </conditionalFormatting>
  <conditionalFormatting sqref="F788">
    <cfRule type="cellIs" dxfId="5" priority="2633" operator="lessThan">
      <formula>-4100</formula>
    </cfRule>
  </conditionalFormatting>
  <conditionalFormatting sqref="F788">
    <cfRule type="cellIs" dxfId="4" priority="2634" operator="greaterThanOrEqual">
      <formula>0</formula>
    </cfRule>
  </conditionalFormatting>
  <conditionalFormatting sqref="F788">
    <cfRule type="cellIs" dxfId="5" priority="2635" operator="lessThan">
      <formula>-4100</formula>
    </cfRule>
  </conditionalFormatting>
  <conditionalFormatting sqref="E788">
    <cfRule type="cellIs" dxfId="6" priority="2636" operator="greaterThan">
      <formula>0</formula>
    </cfRule>
  </conditionalFormatting>
  <conditionalFormatting sqref="F417">
    <cfRule type="cellIs" dxfId="5" priority="2637" operator="lessThan">
      <formula>-4100</formula>
    </cfRule>
  </conditionalFormatting>
  <conditionalFormatting sqref="F417">
    <cfRule type="cellIs" dxfId="4" priority="2638" operator="greaterThanOrEqual">
      <formula>0</formula>
    </cfRule>
  </conditionalFormatting>
  <conditionalFormatting sqref="F417">
    <cfRule type="cellIs" dxfId="4" priority="2639" operator="greaterThanOrEqual">
      <formula>0</formula>
    </cfRule>
  </conditionalFormatting>
  <conditionalFormatting sqref="F417">
    <cfRule type="cellIs" dxfId="5" priority="2640" operator="lessThan">
      <formula>-4100</formula>
    </cfRule>
  </conditionalFormatting>
  <conditionalFormatting sqref="F417">
    <cfRule type="cellIs" dxfId="4" priority="2641" operator="greaterThanOrEqual">
      <formula>0</formula>
    </cfRule>
  </conditionalFormatting>
  <conditionalFormatting sqref="F417">
    <cfRule type="cellIs" dxfId="5" priority="2642" operator="lessThan">
      <formula>-4100</formula>
    </cfRule>
  </conditionalFormatting>
  <conditionalFormatting sqref="F417">
    <cfRule type="cellIs" dxfId="4" priority="2643" operator="greaterThanOrEqual">
      <formula>0</formula>
    </cfRule>
  </conditionalFormatting>
  <conditionalFormatting sqref="F417">
    <cfRule type="cellIs" dxfId="5" priority="2644" operator="lessThan">
      <formula>-4100</formula>
    </cfRule>
  </conditionalFormatting>
  <conditionalFormatting sqref="F417">
    <cfRule type="cellIs" dxfId="4" priority="2645" operator="greaterThanOrEqual">
      <formula>0</formula>
    </cfRule>
  </conditionalFormatting>
  <conditionalFormatting sqref="F417">
    <cfRule type="cellIs" dxfId="5" priority="2646" operator="lessThan">
      <formula>-4100</formula>
    </cfRule>
  </conditionalFormatting>
  <conditionalFormatting sqref="F417">
    <cfRule type="cellIs" dxfId="5" priority="2647" operator="lessThan">
      <formula>-4100</formula>
    </cfRule>
  </conditionalFormatting>
  <conditionalFormatting sqref="F417">
    <cfRule type="cellIs" dxfId="4" priority="2648" operator="greaterThanOrEqual">
      <formula>0</formula>
    </cfRule>
  </conditionalFormatting>
  <conditionalFormatting sqref="F417">
    <cfRule type="cellIs" dxfId="4" priority="2649" operator="greaterThanOrEqual">
      <formula>0</formula>
    </cfRule>
  </conditionalFormatting>
  <conditionalFormatting sqref="F417">
    <cfRule type="cellIs" dxfId="5" priority="2650" operator="lessThan">
      <formula>-4100</formula>
    </cfRule>
  </conditionalFormatting>
  <conditionalFormatting sqref="F417">
    <cfRule type="cellIs" dxfId="4" priority="2651" operator="greaterThanOrEqual">
      <formula>0</formula>
    </cfRule>
  </conditionalFormatting>
  <conditionalFormatting sqref="F417">
    <cfRule type="cellIs" dxfId="5" priority="2652" operator="lessThan">
      <formula>-4100</formula>
    </cfRule>
  </conditionalFormatting>
  <conditionalFormatting sqref="E417">
    <cfRule type="cellIs" dxfId="6" priority="2653" operator="greaterThan">
      <formula>0</formula>
    </cfRule>
  </conditionalFormatting>
  <conditionalFormatting sqref="F597">
    <cfRule type="cellIs" dxfId="5" priority="2654" operator="lessThan">
      <formula>-4100</formula>
    </cfRule>
  </conditionalFormatting>
  <conditionalFormatting sqref="F597">
    <cfRule type="cellIs" dxfId="4" priority="2655" operator="greaterThanOrEqual">
      <formula>0</formula>
    </cfRule>
  </conditionalFormatting>
  <conditionalFormatting sqref="F597">
    <cfRule type="cellIs" dxfId="4" priority="2656" operator="greaterThanOrEqual">
      <formula>0</formula>
    </cfRule>
  </conditionalFormatting>
  <conditionalFormatting sqref="F597">
    <cfRule type="cellIs" dxfId="5" priority="2657" operator="lessThan">
      <formula>-4100</formula>
    </cfRule>
  </conditionalFormatting>
  <conditionalFormatting sqref="F597">
    <cfRule type="cellIs" dxfId="4" priority="2658" operator="greaterThanOrEqual">
      <formula>0</formula>
    </cfRule>
  </conditionalFormatting>
  <conditionalFormatting sqref="F597">
    <cfRule type="cellIs" dxfId="5" priority="2659" operator="lessThan">
      <formula>-4100</formula>
    </cfRule>
  </conditionalFormatting>
  <conditionalFormatting sqref="F597">
    <cfRule type="cellIs" dxfId="4" priority="2660" operator="greaterThanOrEqual">
      <formula>0</formula>
    </cfRule>
  </conditionalFormatting>
  <conditionalFormatting sqref="F597">
    <cfRule type="cellIs" dxfId="5" priority="2661" operator="lessThan">
      <formula>-4100</formula>
    </cfRule>
  </conditionalFormatting>
  <conditionalFormatting sqref="F597">
    <cfRule type="cellIs" dxfId="4" priority="2662" operator="greaterThanOrEqual">
      <formula>0</formula>
    </cfRule>
  </conditionalFormatting>
  <conditionalFormatting sqref="F597">
    <cfRule type="cellIs" dxfId="5" priority="2663" operator="lessThan">
      <formula>-4100</formula>
    </cfRule>
  </conditionalFormatting>
  <conditionalFormatting sqref="F597">
    <cfRule type="cellIs" dxfId="5" priority="2664" operator="lessThan">
      <formula>-4100</formula>
    </cfRule>
  </conditionalFormatting>
  <conditionalFormatting sqref="F597">
    <cfRule type="cellIs" dxfId="4" priority="2665" operator="greaterThanOrEqual">
      <formula>0</formula>
    </cfRule>
  </conditionalFormatting>
  <conditionalFormatting sqref="F597">
    <cfRule type="cellIs" dxfId="4" priority="2666" operator="greaterThanOrEqual">
      <formula>0</formula>
    </cfRule>
  </conditionalFormatting>
  <conditionalFormatting sqref="F597">
    <cfRule type="cellIs" dxfId="5" priority="2667" operator="lessThan">
      <formula>-4100</formula>
    </cfRule>
  </conditionalFormatting>
  <conditionalFormatting sqref="F597">
    <cfRule type="cellIs" dxfId="4" priority="2668" operator="greaterThanOrEqual">
      <formula>0</formula>
    </cfRule>
  </conditionalFormatting>
  <conditionalFormatting sqref="F597">
    <cfRule type="cellIs" dxfId="5" priority="2669" operator="lessThan">
      <formula>-4100</formula>
    </cfRule>
  </conditionalFormatting>
  <conditionalFormatting sqref="E597">
    <cfRule type="cellIs" dxfId="6" priority="2670" operator="greaterThan">
      <formula>0</formula>
    </cfRule>
  </conditionalFormatting>
  <conditionalFormatting sqref="F368">
    <cfRule type="cellIs" dxfId="5" priority="2671" operator="lessThan">
      <formula>-4100</formula>
    </cfRule>
  </conditionalFormatting>
  <conditionalFormatting sqref="F368">
    <cfRule type="cellIs" dxfId="4" priority="2672" operator="greaterThanOrEqual">
      <formula>0</formula>
    </cfRule>
  </conditionalFormatting>
  <conditionalFormatting sqref="F368">
    <cfRule type="cellIs" dxfId="4" priority="2673" operator="greaterThanOrEqual">
      <formula>0</formula>
    </cfRule>
  </conditionalFormatting>
  <conditionalFormatting sqref="F368">
    <cfRule type="cellIs" dxfId="5" priority="2674" operator="lessThan">
      <formula>-4100</formula>
    </cfRule>
  </conditionalFormatting>
  <conditionalFormatting sqref="F368">
    <cfRule type="cellIs" dxfId="4" priority="2675" operator="greaterThanOrEqual">
      <formula>0</formula>
    </cfRule>
  </conditionalFormatting>
  <conditionalFormatting sqref="F368">
    <cfRule type="cellIs" dxfId="5" priority="2676" operator="lessThan">
      <formula>-4100</formula>
    </cfRule>
  </conditionalFormatting>
  <conditionalFormatting sqref="F368">
    <cfRule type="cellIs" dxfId="4" priority="2677" operator="greaterThanOrEqual">
      <formula>0</formula>
    </cfRule>
  </conditionalFormatting>
  <conditionalFormatting sqref="F368">
    <cfRule type="cellIs" dxfId="5" priority="2678" operator="lessThan">
      <formula>-4100</formula>
    </cfRule>
  </conditionalFormatting>
  <conditionalFormatting sqref="F368">
    <cfRule type="cellIs" dxfId="4" priority="2679" operator="greaterThanOrEqual">
      <formula>0</formula>
    </cfRule>
  </conditionalFormatting>
  <conditionalFormatting sqref="F368">
    <cfRule type="cellIs" dxfId="5" priority="2680" operator="lessThan">
      <formula>-4100</formula>
    </cfRule>
  </conditionalFormatting>
  <conditionalFormatting sqref="F368">
    <cfRule type="cellIs" dxfId="5" priority="2681" operator="lessThan">
      <formula>-4100</formula>
    </cfRule>
  </conditionalFormatting>
  <conditionalFormatting sqref="F368">
    <cfRule type="cellIs" dxfId="4" priority="2682" operator="greaterThanOrEqual">
      <formula>0</formula>
    </cfRule>
  </conditionalFormatting>
  <conditionalFormatting sqref="F368">
    <cfRule type="cellIs" dxfId="4" priority="2683" operator="greaterThanOrEqual">
      <formula>0</formula>
    </cfRule>
  </conditionalFormatting>
  <conditionalFormatting sqref="F368">
    <cfRule type="cellIs" dxfId="5" priority="2684" operator="lessThan">
      <formula>-4100</formula>
    </cfRule>
  </conditionalFormatting>
  <conditionalFormatting sqref="F368">
    <cfRule type="cellIs" dxfId="4" priority="2685" operator="greaterThanOrEqual">
      <formula>0</formula>
    </cfRule>
  </conditionalFormatting>
  <conditionalFormatting sqref="F368">
    <cfRule type="cellIs" dxfId="5" priority="2686" operator="lessThan">
      <formula>-4100</formula>
    </cfRule>
  </conditionalFormatting>
  <conditionalFormatting sqref="E368">
    <cfRule type="cellIs" dxfId="6" priority="2687" operator="greaterThan">
      <formula>0</formula>
    </cfRule>
  </conditionalFormatting>
  <conditionalFormatting sqref="F733">
    <cfRule type="cellIs" dxfId="5" priority="2688" operator="lessThan">
      <formula>-4100</formula>
    </cfRule>
  </conditionalFormatting>
  <conditionalFormatting sqref="F733">
    <cfRule type="cellIs" dxfId="4" priority="2689" operator="greaterThanOrEqual">
      <formula>0</formula>
    </cfRule>
  </conditionalFormatting>
  <conditionalFormatting sqref="F733">
    <cfRule type="cellIs" dxfId="4" priority="2690" operator="greaterThanOrEqual">
      <formula>0</formula>
    </cfRule>
  </conditionalFormatting>
  <conditionalFormatting sqref="F733">
    <cfRule type="cellIs" dxfId="5" priority="2691" operator="lessThan">
      <formula>-4100</formula>
    </cfRule>
  </conditionalFormatting>
  <conditionalFormatting sqref="F733">
    <cfRule type="cellIs" dxfId="4" priority="2692" operator="greaterThanOrEqual">
      <formula>0</formula>
    </cfRule>
  </conditionalFormatting>
  <conditionalFormatting sqref="F733">
    <cfRule type="cellIs" dxfId="5" priority="2693" operator="lessThan">
      <formula>-4100</formula>
    </cfRule>
  </conditionalFormatting>
  <conditionalFormatting sqref="F733">
    <cfRule type="cellIs" dxfId="4" priority="2694" operator="greaterThanOrEqual">
      <formula>0</formula>
    </cfRule>
  </conditionalFormatting>
  <conditionalFormatting sqref="F733">
    <cfRule type="cellIs" dxfId="5" priority="2695" operator="lessThan">
      <formula>-4100</formula>
    </cfRule>
  </conditionalFormatting>
  <conditionalFormatting sqref="E733">
    <cfRule type="cellIs" dxfId="6" priority="2696" operator="greaterThan">
      <formula>0</formula>
    </cfRule>
  </conditionalFormatting>
  <conditionalFormatting sqref="F467">
    <cfRule type="cellIs" dxfId="5" priority="2697" operator="lessThan">
      <formula>-4100</formula>
    </cfRule>
  </conditionalFormatting>
  <conditionalFormatting sqref="F467">
    <cfRule type="cellIs" dxfId="4" priority="2698" operator="greaterThanOrEqual">
      <formula>0</formula>
    </cfRule>
  </conditionalFormatting>
  <conditionalFormatting sqref="F467">
    <cfRule type="cellIs" dxfId="4" priority="2699" operator="greaterThanOrEqual">
      <formula>0</formula>
    </cfRule>
  </conditionalFormatting>
  <conditionalFormatting sqref="F467">
    <cfRule type="cellIs" dxfId="5" priority="2700" operator="lessThan">
      <formula>-4100</formula>
    </cfRule>
  </conditionalFormatting>
  <conditionalFormatting sqref="F467">
    <cfRule type="cellIs" dxfId="4" priority="2701" operator="greaterThanOrEqual">
      <formula>0</formula>
    </cfRule>
  </conditionalFormatting>
  <conditionalFormatting sqref="F467">
    <cfRule type="cellIs" dxfId="5" priority="2702" operator="lessThan">
      <formula>-4100</formula>
    </cfRule>
  </conditionalFormatting>
  <conditionalFormatting sqref="F467">
    <cfRule type="cellIs" dxfId="4" priority="2703" operator="greaterThanOrEqual">
      <formula>0</formula>
    </cfRule>
  </conditionalFormatting>
  <conditionalFormatting sqref="F467">
    <cfRule type="cellIs" dxfId="5" priority="2704" operator="lessThan">
      <formula>-4100</formula>
    </cfRule>
  </conditionalFormatting>
  <conditionalFormatting sqref="F467">
    <cfRule type="cellIs" dxfId="4" priority="2705" operator="greaterThanOrEqual">
      <formula>0</formula>
    </cfRule>
  </conditionalFormatting>
  <conditionalFormatting sqref="F467">
    <cfRule type="cellIs" dxfId="5" priority="2706" operator="lessThan">
      <formula>-4100</formula>
    </cfRule>
  </conditionalFormatting>
  <conditionalFormatting sqref="F467">
    <cfRule type="cellIs" dxfId="5" priority="2707" operator="lessThan">
      <formula>-4100</formula>
    </cfRule>
  </conditionalFormatting>
  <conditionalFormatting sqref="F467">
    <cfRule type="cellIs" dxfId="4" priority="2708" operator="greaterThanOrEqual">
      <formula>0</formula>
    </cfRule>
  </conditionalFormatting>
  <conditionalFormatting sqref="F467">
    <cfRule type="cellIs" dxfId="4" priority="2709" operator="greaterThanOrEqual">
      <formula>0</formula>
    </cfRule>
  </conditionalFormatting>
  <conditionalFormatting sqref="F467">
    <cfRule type="cellIs" dxfId="5" priority="2710" operator="lessThan">
      <formula>-4100</formula>
    </cfRule>
  </conditionalFormatting>
  <conditionalFormatting sqref="F467">
    <cfRule type="cellIs" dxfId="4" priority="2711" operator="greaterThanOrEqual">
      <formula>0</formula>
    </cfRule>
  </conditionalFormatting>
  <conditionalFormatting sqref="F467">
    <cfRule type="cellIs" dxfId="5" priority="2712" operator="lessThan">
      <formula>-4100</formula>
    </cfRule>
  </conditionalFormatting>
  <conditionalFormatting sqref="E467">
    <cfRule type="cellIs" dxfId="6" priority="2713" operator="greaterThan">
      <formula>0</formula>
    </cfRule>
  </conditionalFormatting>
  <conditionalFormatting sqref="F592">
    <cfRule type="cellIs" dxfId="5" priority="2714" operator="lessThan">
      <formula>-4100</formula>
    </cfRule>
  </conditionalFormatting>
  <conditionalFormatting sqref="F592">
    <cfRule type="cellIs" dxfId="4" priority="2715" operator="greaterThanOrEqual">
      <formula>0</formula>
    </cfRule>
  </conditionalFormatting>
  <conditionalFormatting sqref="F592">
    <cfRule type="cellIs" dxfId="4" priority="2716" operator="greaterThanOrEqual">
      <formula>0</formula>
    </cfRule>
  </conditionalFormatting>
  <conditionalFormatting sqref="F592">
    <cfRule type="cellIs" dxfId="5" priority="2717" operator="lessThan">
      <formula>-4100</formula>
    </cfRule>
  </conditionalFormatting>
  <conditionalFormatting sqref="F592">
    <cfRule type="cellIs" dxfId="4" priority="2718" operator="greaterThanOrEqual">
      <formula>0</formula>
    </cfRule>
  </conditionalFormatting>
  <conditionalFormatting sqref="F592">
    <cfRule type="cellIs" dxfId="5" priority="2719" operator="lessThan">
      <formula>-4100</formula>
    </cfRule>
  </conditionalFormatting>
  <conditionalFormatting sqref="F592">
    <cfRule type="cellIs" dxfId="4" priority="2720" operator="greaterThanOrEqual">
      <formula>0</formula>
    </cfRule>
  </conditionalFormatting>
  <conditionalFormatting sqref="F592">
    <cfRule type="cellIs" dxfId="5" priority="2721" operator="lessThan">
      <formula>-4100</formula>
    </cfRule>
  </conditionalFormatting>
  <conditionalFormatting sqref="F592">
    <cfRule type="cellIs" dxfId="4" priority="2722" operator="greaterThanOrEqual">
      <formula>0</formula>
    </cfRule>
  </conditionalFormatting>
  <conditionalFormatting sqref="F592">
    <cfRule type="cellIs" dxfId="5" priority="2723" operator="lessThan">
      <formula>-4100</formula>
    </cfRule>
  </conditionalFormatting>
  <conditionalFormatting sqref="F592">
    <cfRule type="cellIs" dxfId="5" priority="2724" operator="lessThan">
      <formula>-4100</formula>
    </cfRule>
  </conditionalFormatting>
  <conditionalFormatting sqref="F592">
    <cfRule type="cellIs" dxfId="4" priority="2725" operator="greaterThanOrEqual">
      <formula>0</formula>
    </cfRule>
  </conditionalFormatting>
  <conditionalFormatting sqref="F592">
    <cfRule type="cellIs" dxfId="4" priority="2726" operator="greaterThanOrEqual">
      <formula>0</formula>
    </cfRule>
  </conditionalFormatting>
  <conditionalFormatting sqref="F592">
    <cfRule type="cellIs" dxfId="5" priority="2727" operator="lessThan">
      <formula>-4100</formula>
    </cfRule>
  </conditionalFormatting>
  <conditionalFormatting sqref="F592">
    <cfRule type="cellIs" dxfId="4" priority="2728" operator="greaterThanOrEqual">
      <formula>0</formula>
    </cfRule>
  </conditionalFormatting>
  <conditionalFormatting sqref="F592">
    <cfRule type="cellIs" dxfId="5" priority="2729" operator="lessThan">
      <formula>-4100</formula>
    </cfRule>
  </conditionalFormatting>
  <conditionalFormatting sqref="E592">
    <cfRule type="cellIs" dxfId="6" priority="2730" operator="greaterThan">
      <formula>0</formula>
    </cfRule>
  </conditionalFormatting>
  <printOptions/>
  <pageMargins bottom="0.75" footer="0.0" header="0.0" left="0.7" right="0.7" top="0.7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4">
      <vt:variant>
        <vt:lpstr>工作表</vt:lpstr>
      </vt:variant>
      <vt:variant>
        <vt:i4>1</vt:i4>
      </vt:variant>
      <vt:variant>
        <vt:lpstr>已命名的範圍</vt:lpstr>
      </vt:variant>
      <vt:variant>
        <vt:i4>5</vt:i4>
      </vt:variant>
    </vt:vector>
  </HeadingPairs>
  <TitlesOfParts>
    <vt:vector baseType="lpstr" size="6">
      <vt:lpstr>Sheet1</vt:lpstr>
      <vt:lpstr>byd</vt:lpstr>
      <vt:lpstr>hkex</vt:lpstr>
      <vt:lpstr>sun</vt:lpstr>
      <vt:lpstr>ub</vt:lpstr>
      <vt:lpstr>zte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2020-10-22T02:36:49Z</dcterms:created>
  <dc:creator>Chuck Chan</dc:creator>
  <cp:lastModifiedBy>USER</cp:lastModifiedBy>
  <dcterms:modified xsi:type="dcterms:W3CDTF">2026-09-22T02:40:41Z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0x010100934EDC9DC782D34982DFF76E84D12DA9</vt:lpwstr>
  </property>
</Properties>
</file>